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nsig\Documents\.BenchlingSync\files\biosustain.benchling.com\ent_e4taHxkO\5c774ad2-5a46-4c05-8f77-623458457ece\"/>
    </mc:Choice>
  </mc:AlternateContent>
  <bookViews>
    <workbookView xWindow="0" yWindow="0" windowWidth="10800" windowHeight="6590" activeTab="2"/>
  </bookViews>
  <sheets>
    <sheet name="Labels" sheetId="1" r:id="rId1"/>
    <sheet name="Samples description" sheetId="2" r:id="rId2"/>
    <sheet name="Quantificatio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H33" i="4"/>
  <c r="I18" i="4" l="1"/>
  <c r="H4" i="4"/>
  <c r="I4" i="4" s="1"/>
  <c r="J4" i="4" s="1"/>
  <c r="K4" i="4" s="1"/>
  <c r="H5" i="4"/>
  <c r="I5" i="4" s="1"/>
  <c r="H6" i="4"/>
  <c r="I6" i="4" s="1"/>
  <c r="H8" i="4"/>
  <c r="H9" i="4"/>
  <c r="I9" i="4" s="1"/>
  <c r="H10" i="4"/>
  <c r="I10" i="4" s="1"/>
  <c r="H11" i="4"/>
  <c r="I11" i="4" s="1"/>
  <c r="H12" i="4"/>
  <c r="H13" i="4"/>
  <c r="I13" i="4" s="1"/>
  <c r="H14" i="4"/>
  <c r="I14" i="4" s="1"/>
  <c r="H15" i="4"/>
  <c r="H16" i="4"/>
  <c r="H17" i="4"/>
  <c r="I17" i="4" s="1"/>
  <c r="H18" i="4"/>
  <c r="H19" i="4"/>
  <c r="I19" i="4" s="1"/>
  <c r="H20" i="4"/>
  <c r="I20" i="4" s="1"/>
  <c r="H21" i="4"/>
  <c r="I21" i="4" s="1"/>
  <c r="H22" i="4"/>
  <c r="I22" i="4" s="1"/>
  <c r="H23" i="4"/>
  <c r="H24" i="4"/>
  <c r="H25" i="4"/>
  <c r="I25" i="4" s="1"/>
  <c r="H26" i="4"/>
  <c r="I26" i="4" s="1"/>
  <c r="H27" i="4"/>
  <c r="I27" i="4" s="1"/>
  <c r="H28" i="4"/>
  <c r="H29" i="4"/>
  <c r="I29" i="4" s="1"/>
  <c r="H30" i="4"/>
  <c r="I30" i="4" s="1"/>
  <c r="H31" i="4"/>
  <c r="H32" i="4"/>
  <c r="I33" i="4"/>
  <c r="J30" i="4" l="1"/>
  <c r="K30" i="4" s="1"/>
  <c r="J22" i="4"/>
  <c r="K22" i="4" s="1"/>
  <c r="J14" i="4"/>
  <c r="K14" i="4" s="1"/>
  <c r="I28" i="4"/>
  <c r="J28" i="4" s="1"/>
  <c r="K28" i="4" s="1"/>
  <c r="I12" i="4"/>
  <c r="J12" i="4" s="1"/>
  <c r="K12" i="4" s="1"/>
  <c r="J13" i="4"/>
  <c r="K13" i="4" s="1"/>
  <c r="J29" i="4"/>
  <c r="K29" i="4" s="1"/>
  <c r="J21" i="4"/>
  <c r="K21" i="4" s="1"/>
  <c r="J5" i="4"/>
  <c r="K5" i="4" s="1"/>
  <c r="J20" i="4"/>
  <c r="K20" i="4" s="1"/>
  <c r="J27" i="4"/>
  <c r="K27" i="4" s="1"/>
  <c r="J19" i="4"/>
  <c r="K19" i="4" s="1"/>
  <c r="J26" i="4"/>
  <c r="K26" i="4" s="1"/>
  <c r="J18" i="4"/>
  <c r="K18" i="4" s="1"/>
  <c r="I32" i="4"/>
  <c r="J32" i="4" s="1"/>
  <c r="K32" i="4" s="1"/>
  <c r="I24" i="4"/>
  <c r="J24" i="4" s="1"/>
  <c r="K24" i="4" s="1"/>
  <c r="I16" i="4"/>
  <c r="J16" i="4" s="1"/>
  <c r="K16" i="4" s="1"/>
  <c r="I8" i="4"/>
  <c r="J8" i="4" s="1"/>
  <c r="K8" i="4" s="1"/>
  <c r="J33" i="4"/>
  <c r="K33" i="4" s="1"/>
  <c r="J25" i="4"/>
  <c r="K25" i="4" s="1"/>
  <c r="J17" i="4"/>
  <c r="K17" i="4" s="1"/>
  <c r="J9" i="4"/>
  <c r="K9" i="4" s="1"/>
  <c r="I31" i="4"/>
  <c r="J31" i="4" s="1"/>
  <c r="K31" i="4" s="1"/>
  <c r="I23" i="4"/>
  <c r="J23" i="4" s="1"/>
  <c r="K23" i="4" s="1"/>
  <c r="I15" i="4"/>
  <c r="J15" i="4" s="1"/>
  <c r="K15" i="4" s="1"/>
  <c r="I7" i="4"/>
  <c r="J7" i="4" s="1"/>
  <c r="K7" i="4" s="1"/>
  <c r="J11" i="4"/>
  <c r="K11" i="4" s="1"/>
  <c r="J10" i="4"/>
  <c r="K10" i="4" s="1"/>
  <c r="J6" i="4"/>
  <c r="K6" i="4" s="1"/>
</calcChain>
</file>

<file path=xl/sharedStrings.xml><?xml version="1.0" encoding="utf-8"?>
<sst xmlns="http://schemas.openxmlformats.org/spreadsheetml/2006/main" count="327" uniqueCount="94">
  <si>
    <t>1 -1270_WT     (R1-7days)
PTA-kasOp - MM ile
rensig - 04122023</t>
  </si>
  <si>
    <t>2 -1270_WT     (R2-7days)
PTA-kasOp - MM ile
rensig - 04122023</t>
  </si>
  <si>
    <t>3 -1270_WT     (R3-7days)
PTA-kasOp - MM ile
rensig - 04122023</t>
  </si>
  <si>
    <t>4 -J1074_WT     (R1-7days)
PTA-kasOp - MM ile
rensig - 04122023</t>
  </si>
  <si>
    <t>5 -J1074_WT     (R2-7days)
PTA-kasOp - MM ile
rensig - 04122023</t>
  </si>
  <si>
    <t>6 -J1074_WT     (R3-7days)
PTA-kasOp - MM ile
rensig - 04122023</t>
  </si>
  <si>
    <t>7 -1270_WT     (R1-7days)
PTA-kasOp - MM xyl
rensig - 04122023</t>
  </si>
  <si>
    <t>8 -1270_WT     (R2-7days)
PTA-kasOp - MM xyl
rensig - 04122023</t>
  </si>
  <si>
    <t>9 -1270_WT     (R3-7days)
PTA-kasOp - MM xyl
rensig - 04122023</t>
  </si>
  <si>
    <t>10 -J1074_WT     (R1-7days)
PTA-kasOp - MM xyl
rensig - 04122023</t>
  </si>
  <si>
    <t>11 -J1074_WT     (R2-7days)
PTA-kasOp - MM xyl
rensig - 04122023</t>
  </si>
  <si>
    <t>12 -J1074_WT     (R3-7days)
PTA-kasOp - MM xyl
rensig - 04122023</t>
  </si>
  <si>
    <t>13 -1270_WT     (R1-7days)
PTA-kasOp - MM gly
rensig - 04122023</t>
  </si>
  <si>
    <t>14 -1270_WT     (R2-7days)
PTA-kasOp - MM gly
rensig - 04122023</t>
  </si>
  <si>
    <t>15 -1270_WT     (R3-7days)
PTA-kasOp - MM gly
rensig - 04122023</t>
  </si>
  <si>
    <t>16 -J1074_WT     (R1-7days)
PTA-kasOp - MM gly
rensig - 04122023</t>
  </si>
  <si>
    <t>17 -J1074_WT     (R2-7days)
PTA-kasOp - MM gly
rensig - 04122023</t>
  </si>
  <si>
    <t>18 -J1074_WT     (R3-7days)
PTA-kasOp - MM gly
rensig - 04122023</t>
  </si>
  <si>
    <t>19 -1270_WT     (R1-7days)
PTA-kasOp - MM
rensig - 04122023</t>
  </si>
  <si>
    <t>20 -1270_WT     (R2-7days)
PTA-kasOp - MM
rensig - 04122023</t>
  </si>
  <si>
    <t>21 -1270_WT     (R3-7days)
PTA-kasOp - MM
rensig - 04122023</t>
  </si>
  <si>
    <t>22 -J1074_WT     (R1-7days)
PTA-kasOp - MM
rensig - 04122023</t>
  </si>
  <si>
    <t>23 -J1074_WT     (R2-7days)
PTA-kasOp - MM
rensig - 04122023</t>
  </si>
  <si>
    <t>24 -J1074_WT     (R3-7days)
PTA-kasOp - MM
rensig - 04122023</t>
  </si>
  <si>
    <t>25 -1270_WT     (R1-7days)
PTA-kasOp - mannitol
rensig - 04122023</t>
  </si>
  <si>
    <t>26 -1270_WT     (R2-7days)
PTA-kasOp - mannitol
rensig - 04122023</t>
  </si>
  <si>
    <t>27 -1270_WT     (R3-7days)
PTA-kasOp - mannitol
rensig - 04122023</t>
  </si>
  <si>
    <t>28 -J1074_WT     (R1-7days)
PTA-kasOp - mannitol
rensig - 04122023</t>
  </si>
  <si>
    <t>29 -J1074_WT     (R2-7days)
PTA-kasOp - mannitol
rensig - 04122023</t>
  </si>
  <si>
    <t>30 -J1074_WT     (R3-7days)
PTA-kasOp - mannitol
rensig - 04122023</t>
  </si>
  <si>
    <t xml:space="preserve">1270_WT </t>
  </si>
  <si>
    <t xml:space="preserve">J1074_WT </t>
  </si>
  <si>
    <t>PTA-kasOp</t>
  </si>
  <si>
    <t xml:space="preserve"> - MM</t>
  </si>
  <si>
    <t xml:space="preserve"> - mannitol</t>
  </si>
  <si>
    <t xml:space="preserve">    (R1-7days)</t>
  </si>
  <si>
    <t xml:space="preserve">    (R2-7days)</t>
  </si>
  <si>
    <t xml:space="preserve">    (R3-7days)</t>
  </si>
  <si>
    <t>Replicate</t>
  </si>
  <si>
    <t>Media</t>
  </si>
  <si>
    <t>Strain</t>
  </si>
  <si>
    <t>Code</t>
  </si>
  <si>
    <t xml:space="preserve"> - MM + ile</t>
  </si>
  <si>
    <t xml:space="preserve"> - MM + xyl</t>
  </si>
  <si>
    <t xml:space="preserve"> - MM + gly</t>
  </si>
  <si>
    <t>LC-MS code</t>
  </si>
  <si>
    <t>RENSIG0001</t>
  </si>
  <si>
    <t>RENSIG0002</t>
  </si>
  <si>
    <t>RENSIG0003</t>
  </si>
  <si>
    <t>RENSIG0004</t>
  </si>
  <si>
    <t>RENSIG0005</t>
  </si>
  <si>
    <t>RENSIG0006</t>
  </si>
  <si>
    <t>RENSIG0007</t>
  </si>
  <si>
    <t>RENSIG0008</t>
  </si>
  <si>
    <t>RENSIG0009</t>
  </si>
  <si>
    <t>RENSIG0010</t>
  </si>
  <si>
    <t>RENSIG0011</t>
  </si>
  <si>
    <t>RENSIG0012</t>
  </si>
  <si>
    <t>RENSIG0013</t>
  </si>
  <si>
    <t>RENSIG0014</t>
  </si>
  <si>
    <t>RENSIG0015</t>
  </si>
  <si>
    <t>RENSIG0016</t>
  </si>
  <si>
    <t>RENSIG0017</t>
  </si>
  <si>
    <t>RENSIG0018</t>
  </si>
  <si>
    <t>RENSIG0019</t>
  </si>
  <si>
    <t>RENSIG0020</t>
  </si>
  <si>
    <t>RENSIG0021</t>
  </si>
  <si>
    <t>RENSIG0022</t>
  </si>
  <si>
    <t>RENSIG0023</t>
  </si>
  <si>
    <t>RENSIG0024</t>
  </si>
  <si>
    <t>RENSIG0025</t>
  </si>
  <si>
    <t>RENSIG0026</t>
  </si>
  <si>
    <t>RENSIG0027</t>
  </si>
  <si>
    <t>RENSIG0028</t>
  </si>
  <si>
    <t>RENSIG0029</t>
  </si>
  <si>
    <t>RENSIG0030</t>
  </si>
  <si>
    <t>UV area</t>
  </si>
  <si>
    <t>RT</t>
  </si>
  <si>
    <t>Label</t>
  </si>
  <si>
    <t>UV Area</t>
  </si>
  <si>
    <t>Calculation (ug)</t>
  </si>
  <si>
    <t>Concentration (mg/mL)</t>
  </si>
  <si>
    <t>Concentration (mg/L)</t>
  </si>
  <si>
    <t>Collabration curve</t>
  </si>
  <si>
    <t>Elaiophylin</t>
  </si>
  <si>
    <t>amount (ug)</t>
  </si>
  <si>
    <t>elaiophylin</t>
  </si>
  <si>
    <t>problem with sample</t>
  </si>
  <si>
    <t>injection volume (µL)</t>
  </si>
  <si>
    <t>Dilution factor</t>
  </si>
  <si>
    <t>Concentration (mg/L) -  dil factor</t>
  </si>
  <si>
    <t>BGC</t>
  </si>
  <si>
    <t>injection vol (uL）</t>
  </si>
  <si>
    <t>conc (ug/uL)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</si>
</sst>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3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3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3" fillId="5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6" borderId="1" xfId="0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6" xfId="0" applyFill="1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60-46BB-98E4-C22F43530A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066994750656168"/>
                  <c:y val="-0.18097222222222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Quantification!$I$39:$I$42</c:f>
              <c:numCache>
                <c:formatCode>0.00</c:formatCode>
                <c:ptCount val="4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2</c:v>
                </c:pt>
              </c:numCache>
            </c:numRef>
          </c:xVal>
          <c:yVal>
            <c:numRef>
              <c:f>Quantification!$J$39:$J$42</c:f>
              <c:numCache>
                <c:formatCode>General</c:formatCode>
                <c:ptCount val="4"/>
                <c:pt idx="0">
                  <c:v>89.955000000000013</c:v>
                </c:pt>
                <c:pt idx="1">
                  <c:v>788.18000000000006</c:v>
                </c:pt>
                <c:pt idx="2">
                  <c:v>7971.835</c:v>
                </c:pt>
                <c:pt idx="3">
                  <c:v>14812.105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0-46BB-98E4-C22F43530A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79551792"/>
        <c:axId val="679550152"/>
      </c:scatterChart>
      <c:valAx>
        <c:axId val="67955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50152"/>
        <c:crosses val="autoZero"/>
        <c:crossBetween val="midCat"/>
      </c:valAx>
      <c:valAx>
        <c:axId val="67955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5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376465</xdr:colOff>
      <xdr:row>44</xdr:row>
      <xdr:rowOff>39008</xdr:rowOff>
    </xdr:from>
    <xdr:to>
      <xdr:col>9</xdr:col>
      <xdr:colOff>1356179</xdr:colOff>
      <xdr:row>59</xdr:row>
      <xdr:rowOff>60779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workbookViewId="0">
      <selection activeCell="F29" sqref="F29"/>
    </sheetView>
  </sheetViews>
  <sheetFormatPr defaultRowHeight="14.5" x14ac:dyDescent="0.35"/>
  <cols>
    <col min="1" max="1" width="21.81640625" customWidth="1"/>
  </cols>
  <sheetData>
    <row r="1" spans="1:1" ht="84.5" x14ac:dyDescent="0.35">
      <c r="A1" s="1" t="s">
        <v>0</v>
      </c>
    </row>
    <row r="2" spans="1:1" ht="84.5" x14ac:dyDescent="0.35">
      <c r="A2" s="1" t="s">
        <v>1</v>
      </c>
    </row>
    <row r="3" spans="1:1" ht="84.5" x14ac:dyDescent="0.35">
      <c r="A3" s="1" t="s">
        <v>2</v>
      </c>
    </row>
    <row r="4" spans="1:1" ht="36.5" x14ac:dyDescent="0.35">
      <c r="A4" s="1" t="s">
        <v>3</v>
      </c>
    </row>
    <row r="5" spans="1:1" ht="36.5" x14ac:dyDescent="0.35">
      <c r="A5" s="1" t="s">
        <v>4</v>
      </c>
    </row>
    <row r="6" spans="1:1" ht="36.5" x14ac:dyDescent="0.35">
      <c r="A6" s="1" t="s">
        <v>5</v>
      </c>
    </row>
    <row r="7" spans="1:1" ht="36.5" x14ac:dyDescent="0.35">
      <c r="A7" s="1" t="s">
        <v>6</v>
      </c>
    </row>
    <row r="8" spans="1:1" ht="36.5" x14ac:dyDescent="0.35">
      <c r="A8" s="1" t="s">
        <v>7</v>
      </c>
    </row>
    <row r="9" spans="1:1" ht="36.5" x14ac:dyDescent="0.35">
      <c r="A9" s="1" t="s">
        <v>8</v>
      </c>
    </row>
    <row r="10" spans="1:1" ht="36.5" x14ac:dyDescent="0.35">
      <c r="A10" s="1" t="s">
        <v>9</v>
      </c>
    </row>
    <row r="11" spans="1:1" ht="36.5" x14ac:dyDescent="0.35">
      <c r="A11" s="1" t="s">
        <v>10</v>
      </c>
    </row>
    <row r="12" spans="1:1" ht="36.5" x14ac:dyDescent="0.35">
      <c r="A12" s="1" t="s">
        <v>11</v>
      </c>
    </row>
    <row r="13" spans="1:1" ht="36.5" x14ac:dyDescent="0.35">
      <c r="A13" s="1" t="s">
        <v>12</v>
      </c>
    </row>
    <row r="14" spans="1:1" ht="36.5" x14ac:dyDescent="0.35">
      <c r="A14" s="1" t="s">
        <v>13</v>
      </c>
    </row>
    <row r="15" spans="1:1" ht="36.5" x14ac:dyDescent="0.35">
      <c r="A15" s="1" t="s">
        <v>14</v>
      </c>
    </row>
    <row r="16" spans="1:1" ht="36.5" x14ac:dyDescent="0.35">
      <c r="A16" s="1" t="s">
        <v>15</v>
      </c>
    </row>
    <row r="17" spans="1:1" ht="36.5" x14ac:dyDescent="0.35">
      <c r="A17" s="1" t="s">
        <v>16</v>
      </c>
    </row>
    <row r="18" spans="1:1" ht="36.5" x14ac:dyDescent="0.35">
      <c r="A18" s="1" t="s">
        <v>17</v>
      </c>
    </row>
    <row r="19" spans="1:1" ht="36.5" x14ac:dyDescent="0.35">
      <c r="A19" s="1" t="s">
        <v>18</v>
      </c>
    </row>
    <row r="20" spans="1:1" ht="36.5" x14ac:dyDescent="0.35">
      <c r="A20" s="1" t="s">
        <v>19</v>
      </c>
    </row>
    <row r="21" spans="1:1" ht="36.5" x14ac:dyDescent="0.35">
      <c r="A21" s="1" t="s">
        <v>20</v>
      </c>
    </row>
    <row r="22" spans="1:1" ht="36.5" x14ac:dyDescent="0.35">
      <c r="A22" s="1" t="s">
        <v>21</v>
      </c>
    </row>
    <row r="23" spans="1:1" ht="36.5" x14ac:dyDescent="0.35">
      <c r="A23" s="1" t="s">
        <v>22</v>
      </c>
    </row>
    <row r="24" spans="1:1" ht="36.5" x14ac:dyDescent="0.35">
      <c r="A24" s="1" t="s">
        <v>23</v>
      </c>
    </row>
    <row r="25" spans="1:1" ht="36.5" x14ac:dyDescent="0.35">
      <c r="A25" s="1" t="s">
        <v>24</v>
      </c>
    </row>
    <row r="26" spans="1:1" ht="36.5" x14ac:dyDescent="0.35">
      <c r="A26" s="1" t="s">
        <v>25</v>
      </c>
    </row>
    <row r="27" spans="1:1" ht="36.5" x14ac:dyDescent="0.35">
      <c r="A27" s="1" t="s">
        <v>26</v>
      </c>
    </row>
    <row r="28" spans="1:1" ht="36.5" x14ac:dyDescent="0.35">
      <c r="A28" s="1" t="s">
        <v>27</v>
      </c>
    </row>
    <row r="29" spans="1:1" ht="36.5" x14ac:dyDescent="0.35">
      <c r="A29" s="1" t="s">
        <v>28</v>
      </c>
    </row>
    <row r="30" spans="1:1" ht="36.5" x14ac:dyDescent="0.35">
      <c r="A30" s="1" t="s">
        <v>29</v>
      </c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J15" sqref="J15"/>
    </sheetView>
  </sheetViews>
  <sheetFormatPr defaultRowHeight="14.5" x14ac:dyDescent="0.35"/>
  <cols>
    <col min="1" max="1" width="11.08984375" customWidth="1"/>
    <col min="3" max="3" width="13.36328125" customWidth="1"/>
    <col min="4" max="4" width="15.08984375" customWidth="1"/>
    <col min="5" max="5" width="14.90625" customWidth="1"/>
    <col min="6" max="6" width="12.1796875" customWidth="1"/>
    <col min="7" max="7" width="11.36328125" customWidth="1"/>
  </cols>
  <sheetData>
    <row r="1" spans="1:8" x14ac:dyDescent="0.35">
      <c r="G1" s="21" t="s">
        <v>77</v>
      </c>
      <c r="H1" s="21" t="s">
        <v>76</v>
      </c>
    </row>
    <row r="2" spans="1:8" x14ac:dyDescent="0.35">
      <c r="A2" s="2" t="s">
        <v>45</v>
      </c>
      <c r="B2" s="3" t="s">
        <v>41</v>
      </c>
      <c r="C2" s="47" t="s">
        <v>40</v>
      </c>
      <c r="D2" s="47"/>
      <c r="E2" s="3" t="s">
        <v>39</v>
      </c>
      <c r="F2" s="3" t="s">
        <v>38</v>
      </c>
      <c r="G2" s="20" t="s">
        <v>86</v>
      </c>
    </row>
    <row r="3" spans="1:8" x14ac:dyDescent="0.35">
      <c r="A3" s="4" t="s">
        <v>46</v>
      </c>
      <c r="B3" s="5">
        <v>1</v>
      </c>
      <c r="C3" s="4" t="s">
        <v>30</v>
      </c>
      <c r="D3" s="6" t="s">
        <v>32</v>
      </c>
      <c r="E3" s="4" t="s">
        <v>42</v>
      </c>
      <c r="F3" s="6" t="s">
        <v>35</v>
      </c>
      <c r="G3">
        <v>6.7869999999999999</v>
      </c>
      <c r="H3">
        <v>6.96</v>
      </c>
    </row>
    <row r="4" spans="1:8" x14ac:dyDescent="0.35">
      <c r="A4" s="4" t="s">
        <v>47</v>
      </c>
      <c r="B4" s="5">
        <v>2</v>
      </c>
      <c r="C4" s="4" t="s">
        <v>30</v>
      </c>
      <c r="D4" s="6" t="s">
        <v>32</v>
      </c>
      <c r="E4" s="4" t="s">
        <v>42</v>
      </c>
      <c r="F4" s="6" t="s">
        <v>36</v>
      </c>
      <c r="G4">
        <v>6.78</v>
      </c>
      <c r="H4">
        <v>4.04</v>
      </c>
    </row>
    <row r="5" spans="1:8" x14ac:dyDescent="0.35">
      <c r="A5" s="4" t="s">
        <v>48</v>
      </c>
      <c r="B5" s="5">
        <v>3</v>
      </c>
      <c r="C5" s="4" t="s">
        <v>30</v>
      </c>
      <c r="D5" s="6" t="s">
        <v>32</v>
      </c>
      <c r="E5" s="4" t="s">
        <v>42</v>
      </c>
      <c r="F5" s="6" t="s">
        <v>37</v>
      </c>
      <c r="G5">
        <v>6.7869999999999999</v>
      </c>
      <c r="H5">
        <v>3.7</v>
      </c>
    </row>
    <row r="6" spans="1:8" x14ac:dyDescent="0.35">
      <c r="A6" s="7" t="s">
        <v>49</v>
      </c>
      <c r="B6" s="8">
        <v>4</v>
      </c>
      <c r="C6" s="7" t="s">
        <v>31</v>
      </c>
      <c r="D6" s="9" t="s">
        <v>32</v>
      </c>
      <c r="E6" s="7" t="s">
        <v>42</v>
      </c>
      <c r="F6" s="9" t="s">
        <v>35</v>
      </c>
      <c r="G6">
        <v>6.6189999999999998</v>
      </c>
      <c r="H6">
        <v>63.08</v>
      </c>
    </row>
    <row r="7" spans="1:8" x14ac:dyDescent="0.35">
      <c r="A7" s="7" t="s">
        <v>50</v>
      </c>
      <c r="B7" s="8">
        <v>5</v>
      </c>
      <c r="C7" s="7" t="s">
        <v>31</v>
      </c>
      <c r="D7" s="9" t="s">
        <v>32</v>
      </c>
      <c r="E7" s="7" t="s">
        <v>42</v>
      </c>
      <c r="F7" s="9" t="s">
        <v>36</v>
      </c>
      <c r="G7">
        <v>6.6239999999999997</v>
      </c>
      <c r="H7">
        <v>37.69</v>
      </c>
    </row>
    <row r="8" spans="1:8" x14ac:dyDescent="0.35">
      <c r="A8" s="7" t="s">
        <v>51</v>
      </c>
      <c r="B8" s="8">
        <v>6</v>
      </c>
      <c r="C8" s="7" t="s">
        <v>31</v>
      </c>
      <c r="D8" s="9" t="s">
        <v>32</v>
      </c>
      <c r="E8" s="7" t="s">
        <v>42</v>
      </c>
      <c r="F8" s="9" t="s">
        <v>37</v>
      </c>
      <c r="G8">
        <v>6.6139999999999999</v>
      </c>
      <c r="H8">
        <v>41.08</v>
      </c>
    </row>
    <row r="9" spans="1:8" x14ac:dyDescent="0.35">
      <c r="A9" s="4" t="s">
        <v>52</v>
      </c>
      <c r="B9" s="5">
        <v>7</v>
      </c>
      <c r="C9" s="4" t="s">
        <v>30</v>
      </c>
      <c r="D9" s="6" t="s">
        <v>32</v>
      </c>
      <c r="E9" s="4" t="s">
        <v>43</v>
      </c>
      <c r="F9" s="6" t="s">
        <v>35</v>
      </c>
      <c r="G9" s="16">
        <v>6.8159999999999998</v>
      </c>
      <c r="H9" s="16">
        <v>239.4</v>
      </c>
    </row>
    <row r="10" spans="1:8" x14ac:dyDescent="0.35">
      <c r="A10" s="4" t="s">
        <v>53</v>
      </c>
      <c r="B10" s="5">
        <v>8</v>
      </c>
      <c r="C10" s="4" t="s">
        <v>30</v>
      </c>
      <c r="D10" s="6" t="s">
        <v>32</v>
      </c>
      <c r="E10" s="4" t="s">
        <v>43</v>
      </c>
      <c r="F10" s="6" t="s">
        <v>36</v>
      </c>
      <c r="G10">
        <v>6.7670000000000003</v>
      </c>
      <c r="H10">
        <v>137.49</v>
      </c>
    </row>
    <row r="11" spans="1:8" x14ac:dyDescent="0.35">
      <c r="A11" s="4" t="s">
        <v>54</v>
      </c>
      <c r="B11" s="5">
        <v>9</v>
      </c>
      <c r="C11" s="4" t="s">
        <v>30</v>
      </c>
      <c r="D11" s="6" t="s">
        <v>32</v>
      </c>
      <c r="E11" s="4" t="s">
        <v>43</v>
      </c>
      <c r="F11" s="6" t="s">
        <v>37</v>
      </c>
      <c r="G11">
        <v>6.7930000000000001</v>
      </c>
      <c r="H11">
        <v>185.1</v>
      </c>
    </row>
    <row r="12" spans="1:8" x14ac:dyDescent="0.35">
      <c r="A12" s="13" t="s">
        <v>55</v>
      </c>
      <c r="B12" s="14">
        <v>10</v>
      </c>
      <c r="C12" s="13" t="s">
        <v>31</v>
      </c>
      <c r="D12" s="15" t="s">
        <v>32</v>
      </c>
      <c r="E12" s="13" t="s">
        <v>43</v>
      </c>
      <c r="F12" s="15" t="s">
        <v>35</v>
      </c>
      <c r="G12">
        <v>6.69</v>
      </c>
      <c r="H12">
        <v>66.13</v>
      </c>
    </row>
    <row r="13" spans="1:8" x14ac:dyDescent="0.35">
      <c r="A13" s="13" t="s">
        <v>56</v>
      </c>
      <c r="B13" s="14">
        <v>11</v>
      </c>
      <c r="C13" s="13" t="s">
        <v>31</v>
      </c>
      <c r="D13" s="15" t="s">
        <v>32</v>
      </c>
      <c r="E13" s="13" t="s">
        <v>43</v>
      </c>
      <c r="F13" s="15" t="s">
        <v>36</v>
      </c>
      <c r="G13" s="48" t="s">
        <v>87</v>
      </c>
      <c r="H13" s="49"/>
    </row>
    <row r="14" spans="1:8" x14ac:dyDescent="0.35">
      <c r="A14" s="13" t="s">
        <v>57</v>
      </c>
      <c r="B14" s="14">
        <v>12</v>
      </c>
      <c r="C14" s="13" t="s">
        <v>31</v>
      </c>
      <c r="D14" s="15" t="s">
        <v>32</v>
      </c>
      <c r="E14" s="13" t="s">
        <v>43</v>
      </c>
      <c r="F14" s="15" t="s">
        <v>37</v>
      </c>
      <c r="G14">
        <v>6.6820000000000004</v>
      </c>
      <c r="H14">
        <v>110.23</v>
      </c>
    </row>
    <row r="15" spans="1:8" x14ac:dyDescent="0.35">
      <c r="A15" s="13" t="s">
        <v>58</v>
      </c>
      <c r="B15" s="14">
        <v>13</v>
      </c>
      <c r="C15" s="13" t="s">
        <v>30</v>
      </c>
      <c r="D15" s="15" t="s">
        <v>32</v>
      </c>
      <c r="E15" s="13" t="s">
        <v>44</v>
      </c>
      <c r="F15" s="15" t="s">
        <v>35</v>
      </c>
      <c r="G15">
        <v>6.7590000000000003</v>
      </c>
      <c r="H15">
        <v>77.38</v>
      </c>
    </row>
    <row r="16" spans="1:8" x14ac:dyDescent="0.35">
      <c r="A16" s="13" t="s">
        <v>59</v>
      </c>
      <c r="B16" s="14">
        <v>14</v>
      </c>
      <c r="C16" s="13" t="s">
        <v>30</v>
      </c>
      <c r="D16" s="15" t="s">
        <v>32</v>
      </c>
      <c r="E16" s="13" t="s">
        <v>44</v>
      </c>
      <c r="F16" s="15" t="s">
        <v>36</v>
      </c>
      <c r="G16">
        <v>6.7489999999999997</v>
      </c>
      <c r="H16">
        <v>83</v>
      </c>
    </row>
    <row r="17" spans="1:8" x14ac:dyDescent="0.35">
      <c r="A17" s="13" t="s">
        <v>60</v>
      </c>
      <c r="B17" s="14">
        <v>15</v>
      </c>
      <c r="C17" s="13" t="s">
        <v>30</v>
      </c>
      <c r="D17" s="15" t="s">
        <v>32</v>
      </c>
      <c r="E17" s="13" t="s">
        <v>44</v>
      </c>
      <c r="F17" s="15" t="s">
        <v>37</v>
      </c>
      <c r="G17">
        <v>6.6849999999999996</v>
      </c>
      <c r="H17">
        <v>28.51</v>
      </c>
    </row>
    <row r="18" spans="1:8" x14ac:dyDescent="0.35">
      <c r="A18" s="10" t="s">
        <v>61</v>
      </c>
      <c r="B18" s="11">
        <v>16</v>
      </c>
      <c r="C18" s="10" t="s">
        <v>31</v>
      </c>
      <c r="D18" s="12" t="s">
        <v>32</v>
      </c>
      <c r="E18" s="10" t="s">
        <v>44</v>
      </c>
      <c r="F18" s="12" t="s">
        <v>35</v>
      </c>
      <c r="G18">
        <v>6.7709999999999999</v>
      </c>
      <c r="H18">
        <v>234.02</v>
      </c>
    </row>
    <row r="19" spans="1:8" x14ac:dyDescent="0.35">
      <c r="A19" s="10" t="s">
        <v>62</v>
      </c>
      <c r="B19" s="11">
        <v>17</v>
      </c>
      <c r="C19" s="10" t="s">
        <v>31</v>
      </c>
      <c r="D19" s="12" t="s">
        <v>32</v>
      </c>
      <c r="E19" s="10" t="s">
        <v>44</v>
      </c>
      <c r="F19" s="12" t="s">
        <v>36</v>
      </c>
      <c r="G19">
        <v>6.7750000000000004</v>
      </c>
      <c r="H19">
        <v>493.91</v>
      </c>
    </row>
    <row r="20" spans="1:8" x14ac:dyDescent="0.35">
      <c r="A20" s="10" t="s">
        <v>63</v>
      </c>
      <c r="B20" s="11">
        <v>18</v>
      </c>
      <c r="C20" s="10" t="s">
        <v>31</v>
      </c>
      <c r="D20" s="12" t="s">
        <v>32</v>
      </c>
      <c r="E20" s="10" t="s">
        <v>44</v>
      </c>
      <c r="F20" s="12" t="s">
        <v>37</v>
      </c>
      <c r="G20">
        <v>6.77</v>
      </c>
      <c r="H20">
        <v>225.93</v>
      </c>
    </row>
    <row r="21" spans="1:8" x14ac:dyDescent="0.35">
      <c r="A21" s="4" t="s">
        <v>64</v>
      </c>
      <c r="B21" s="5">
        <v>19</v>
      </c>
      <c r="C21" s="4" t="s">
        <v>30</v>
      </c>
      <c r="D21" s="6" t="s">
        <v>32</v>
      </c>
      <c r="E21" s="4" t="s">
        <v>33</v>
      </c>
      <c r="F21" s="6" t="s">
        <v>35</v>
      </c>
      <c r="G21">
        <v>6.7030000000000003</v>
      </c>
      <c r="H21">
        <v>8.69</v>
      </c>
    </row>
    <row r="22" spans="1:8" x14ac:dyDescent="0.35">
      <c r="A22" s="4" t="s">
        <v>65</v>
      </c>
      <c r="B22" s="5">
        <v>20</v>
      </c>
      <c r="C22" s="4" t="s">
        <v>30</v>
      </c>
      <c r="D22" s="6" t="s">
        <v>32</v>
      </c>
      <c r="E22" s="4" t="s">
        <v>33</v>
      </c>
      <c r="F22" s="6" t="s">
        <v>36</v>
      </c>
      <c r="G22">
        <v>6.6980000000000004</v>
      </c>
      <c r="H22">
        <v>7.76</v>
      </c>
    </row>
    <row r="23" spans="1:8" x14ac:dyDescent="0.35">
      <c r="A23" s="4" t="s">
        <v>66</v>
      </c>
      <c r="B23" s="5">
        <v>21</v>
      </c>
      <c r="C23" s="4" t="s">
        <v>30</v>
      </c>
      <c r="D23" s="6" t="s">
        <v>32</v>
      </c>
      <c r="E23" s="4" t="s">
        <v>33</v>
      </c>
      <c r="F23" s="6" t="s">
        <v>37</v>
      </c>
      <c r="G23">
        <v>6.694</v>
      </c>
      <c r="H23">
        <v>8.5500000000000007</v>
      </c>
    </row>
    <row r="24" spans="1:8" x14ac:dyDescent="0.35">
      <c r="A24" s="13" t="s">
        <v>67</v>
      </c>
      <c r="B24" s="14">
        <v>22</v>
      </c>
      <c r="C24" s="13" t="s">
        <v>31</v>
      </c>
      <c r="D24" s="15" t="s">
        <v>32</v>
      </c>
      <c r="E24" s="13" t="s">
        <v>33</v>
      </c>
      <c r="F24" s="15" t="s">
        <v>35</v>
      </c>
      <c r="G24">
        <v>6.7320000000000002</v>
      </c>
      <c r="H24">
        <v>73.09</v>
      </c>
    </row>
    <row r="25" spans="1:8" x14ac:dyDescent="0.35">
      <c r="A25" s="13" t="s">
        <v>68</v>
      </c>
      <c r="B25" s="14">
        <v>23</v>
      </c>
      <c r="C25" s="13" t="s">
        <v>31</v>
      </c>
      <c r="D25" s="15" t="s">
        <v>32</v>
      </c>
      <c r="E25" s="13" t="s">
        <v>33</v>
      </c>
      <c r="F25" s="15" t="s">
        <v>36</v>
      </c>
      <c r="G25">
        <v>6.742</v>
      </c>
      <c r="H25">
        <v>163.31</v>
      </c>
    </row>
    <row r="26" spans="1:8" x14ac:dyDescent="0.35">
      <c r="A26" s="13" t="s">
        <v>69</v>
      </c>
      <c r="B26" s="14">
        <v>24</v>
      </c>
      <c r="C26" s="13" t="s">
        <v>31</v>
      </c>
      <c r="D26" s="15" t="s">
        <v>32</v>
      </c>
      <c r="E26" s="13" t="s">
        <v>33</v>
      </c>
      <c r="F26" s="15" t="s">
        <v>37</v>
      </c>
      <c r="G26">
        <v>6.7309999999999999</v>
      </c>
      <c r="H26">
        <v>58.42</v>
      </c>
    </row>
    <row r="27" spans="1:8" x14ac:dyDescent="0.35">
      <c r="A27" s="10" t="s">
        <v>70</v>
      </c>
      <c r="B27" s="11">
        <v>25</v>
      </c>
      <c r="C27" s="10" t="s">
        <v>30</v>
      </c>
      <c r="D27" s="12" t="s">
        <v>32</v>
      </c>
      <c r="E27" s="10" t="s">
        <v>34</v>
      </c>
      <c r="F27" s="12" t="s">
        <v>35</v>
      </c>
      <c r="G27">
        <v>6.726</v>
      </c>
      <c r="H27">
        <v>47.76</v>
      </c>
    </row>
    <row r="28" spans="1:8" x14ac:dyDescent="0.35">
      <c r="A28" s="10" t="s">
        <v>71</v>
      </c>
      <c r="B28" s="11">
        <v>26</v>
      </c>
      <c r="C28" s="10" t="s">
        <v>30</v>
      </c>
      <c r="D28" s="12" t="s">
        <v>32</v>
      </c>
      <c r="E28" s="10" t="s">
        <v>34</v>
      </c>
      <c r="F28" s="12" t="s">
        <v>36</v>
      </c>
      <c r="G28">
        <v>6.7240000000000002</v>
      </c>
      <c r="H28">
        <v>22.74</v>
      </c>
    </row>
    <row r="29" spans="1:8" x14ac:dyDescent="0.35">
      <c r="A29" s="10" t="s">
        <v>72</v>
      </c>
      <c r="B29" s="11">
        <v>27</v>
      </c>
      <c r="C29" s="10" t="s">
        <v>30</v>
      </c>
      <c r="D29" s="12" t="s">
        <v>32</v>
      </c>
      <c r="E29" s="10" t="s">
        <v>34</v>
      </c>
      <c r="F29" s="12" t="s">
        <v>37</v>
      </c>
      <c r="G29">
        <v>6.718</v>
      </c>
      <c r="H29">
        <v>58.02</v>
      </c>
    </row>
    <row r="30" spans="1:8" x14ac:dyDescent="0.35">
      <c r="A30" s="10" t="s">
        <v>73</v>
      </c>
      <c r="B30" s="11">
        <v>28</v>
      </c>
      <c r="C30" s="10" t="s">
        <v>31</v>
      </c>
      <c r="D30" s="12" t="s">
        <v>32</v>
      </c>
      <c r="E30" s="10" t="s">
        <v>34</v>
      </c>
      <c r="F30" s="12" t="s">
        <v>35</v>
      </c>
      <c r="G30">
        <v>6.7130000000000001</v>
      </c>
      <c r="H30">
        <v>163.57</v>
      </c>
    </row>
    <row r="31" spans="1:8" x14ac:dyDescent="0.35">
      <c r="A31" s="10" t="s">
        <v>74</v>
      </c>
      <c r="B31" s="11">
        <v>29</v>
      </c>
      <c r="C31" s="10" t="s">
        <v>31</v>
      </c>
      <c r="D31" s="12" t="s">
        <v>32</v>
      </c>
      <c r="E31" s="10" t="s">
        <v>34</v>
      </c>
      <c r="F31" s="12" t="s">
        <v>36</v>
      </c>
      <c r="G31">
        <v>6.7039999999999997</v>
      </c>
      <c r="H31">
        <v>164.5</v>
      </c>
    </row>
    <row r="32" spans="1:8" x14ac:dyDescent="0.35">
      <c r="A32" s="10" t="s">
        <v>75</v>
      </c>
      <c r="B32" s="11">
        <v>30</v>
      </c>
      <c r="C32" s="10" t="s">
        <v>31</v>
      </c>
      <c r="D32" s="12" t="s">
        <v>32</v>
      </c>
      <c r="E32" s="10" t="s">
        <v>34</v>
      </c>
      <c r="F32" s="12" t="s">
        <v>37</v>
      </c>
      <c r="G32">
        <v>6.6909999999999998</v>
      </c>
      <c r="H32">
        <v>99.97</v>
      </c>
    </row>
  </sheetData>
  <mergeCells count="2">
    <mergeCell ref="C2:D2"/>
    <mergeCell ref="G13:H1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42"/>
  <sheetViews>
    <sheetView tabSelected="1" topLeftCell="A7" zoomScale="70" zoomScaleNormal="70" workbookViewId="0">
      <selection activeCell="M10" sqref="M10"/>
    </sheetView>
  </sheetViews>
  <sheetFormatPr defaultColWidth="9.1796875" defaultRowHeight="14.5" x14ac:dyDescent="0.35"/>
  <cols>
    <col min="1" max="2" width="9.1796875" style="17"/>
    <col min="3" max="3" width="20.26953125" style="17" customWidth="1"/>
    <col min="4" max="4" width="13.26953125" style="17" customWidth="1"/>
    <col min="5" max="5" width="19.6328125" style="17" customWidth="1"/>
    <col min="6" max="6" width="16.7265625" style="17" customWidth="1"/>
    <col min="7" max="7" width="14.453125" style="17" customWidth="1"/>
    <col min="8" max="8" width="16.08984375" style="17" customWidth="1"/>
    <col min="9" max="9" width="20.90625" style="17" customWidth="1"/>
    <col min="10" max="10" width="20.26953125" style="17" customWidth="1"/>
    <col min="11" max="11" width="27.36328125" style="17" customWidth="1"/>
    <col min="12" max="16384" width="9.1796875" style="17"/>
  </cols>
  <sheetData>
    <row r="1" spans="3:11" ht="15" thickBot="1" x14ac:dyDescent="0.4">
      <c r="G1" s="51" t="s">
        <v>84</v>
      </c>
      <c r="H1" s="52"/>
      <c r="I1" s="52"/>
      <c r="J1" s="52"/>
      <c r="K1" s="53"/>
    </row>
    <row r="2" spans="3:11" x14ac:dyDescent="0.35">
      <c r="C2" s="27" t="s">
        <v>88</v>
      </c>
      <c r="D2" s="27">
        <v>5</v>
      </c>
      <c r="E2" s="22"/>
      <c r="F2" s="22"/>
      <c r="J2" s="50" t="s">
        <v>89</v>
      </c>
      <c r="K2" s="50">
        <v>0.625</v>
      </c>
    </row>
    <row r="3" spans="3:11" x14ac:dyDescent="0.35">
      <c r="C3" s="26" t="s">
        <v>78</v>
      </c>
      <c r="D3" s="28" t="s">
        <v>40</v>
      </c>
      <c r="E3" s="25" t="s">
        <v>91</v>
      </c>
      <c r="F3" s="25" t="s">
        <v>39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90</v>
      </c>
    </row>
    <row r="4" spans="3:11" x14ac:dyDescent="0.35">
      <c r="C4" s="23" t="s">
        <v>46</v>
      </c>
      <c r="D4" s="29" t="s">
        <v>30</v>
      </c>
      <c r="E4" s="24" t="s">
        <v>32</v>
      </c>
      <c r="F4" s="23" t="s">
        <v>42</v>
      </c>
      <c r="G4" s="40">
        <v>6.96</v>
      </c>
      <c r="H4" s="31">
        <f t="shared" ref="H4:H33" si="0">(G4-132.88)/7437.5</f>
        <v>-1.6930420168067228E-2</v>
      </c>
      <c r="I4" s="44">
        <f t="shared" ref="I4:I33" si="1">H4/$D$2</f>
        <v>-3.3860840336134455E-3</v>
      </c>
      <c r="J4" s="32">
        <f t="shared" ref="J4:J33" si="2">I4*1000</f>
        <v>-3.3860840336134457</v>
      </c>
      <c r="K4" s="37">
        <f t="shared" ref="K4:K33" si="3">J4*$K$2</f>
        <v>-2.1163025210084037</v>
      </c>
    </row>
    <row r="5" spans="3:11" x14ac:dyDescent="0.35">
      <c r="C5" s="23" t="s">
        <v>47</v>
      </c>
      <c r="D5" s="29" t="s">
        <v>30</v>
      </c>
      <c r="E5" s="24" t="s">
        <v>32</v>
      </c>
      <c r="F5" s="23" t="s">
        <v>42</v>
      </c>
      <c r="G5" s="41">
        <v>4.04</v>
      </c>
      <c r="H5" s="33">
        <f t="shared" si="0"/>
        <v>-1.7323025210084032E-2</v>
      </c>
      <c r="I5" s="45">
        <f t="shared" si="1"/>
        <v>-3.4646050420168066E-3</v>
      </c>
      <c r="J5" s="34">
        <f t="shared" si="2"/>
        <v>-3.4646050420168066</v>
      </c>
      <c r="K5" s="38">
        <f t="shared" si="3"/>
        <v>-2.1653781512605041</v>
      </c>
    </row>
    <row r="6" spans="3:11" x14ac:dyDescent="0.35">
      <c r="C6" s="23" t="s">
        <v>48</v>
      </c>
      <c r="D6" s="29" t="s">
        <v>30</v>
      </c>
      <c r="E6" s="24" t="s">
        <v>32</v>
      </c>
      <c r="F6" s="23" t="s">
        <v>42</v>
      </c>
      <c r="G6" s="42">
        <v>3.7</v>
      </c>
      <c r="H6" s="35">
        <f t="shared" si="0"/>
        <v>-1.736873949579832E-2</v>
      </c>
      <c r="I6" s="46">
        <f t="shared" si="1"/>
        <v>-3.4737478991596639E-3</v>
      </c>
      <c r="J6" s="36">
        <f t="shared" si="2"/>
        <v>-3.473747899159664</v>
      </c>
      <c r="K6" s="39">
        <f t="shared" si="3"/>
        <v>-2.1710924369747899</v>
      </c>
    </row>
    <row r="7" spans="3:11" x14ac:dyDescent="0.35">
      <c r="C7" s="23" t="s">
        <v>49</v>
      </c>
      <c r="D7" s="29" t="s">
        <v>31</v>
      </c>
      <c r="E7" s="24" t="s">
        <v>32</v>
      </c>
      <c r="F7" s="23" t="s">
        <v>42</v>
      </c>
      <c r="G7" s="40">
        <v>63.08</v>
      </c>
      <c r="H7" s="31">
        <f t="shared" si="0"/>
        <v>-9.3848739495798316E-3</v>
      </c>
      <c r="I7" s="44">
        <f t="shared" si="1"/>
        <v>-1.8769747899159664E-3</v>
      </c>
      <c r="J7" s="32">
        <f t="shared" si="2"/>
        <v>-1.8769747899159663</v>
      </c>
      <c r="K7" s="37">
        <f t="shared" si="3"/>
        <v>-1.173109243697479</v>
      </c>
    </row>
    <row r="8" spans="3:11" x14ac:dyDescent="0.35">
      <c r="C8" s="23" t="s">
        <v>50</v>
      </c>
      <c r="D8" s="29" t="s">
        <v>31</v>
      </c>
      <c r="E8" s="24" t="s">
        <v>32</v>
      </c>
      <c r="F8" s="23" t="s">
        <v>42</v>
      </c>
      <c r="G8" s="41">
        <v>37.69</v>
      </c>
      <c r="H8" s="33">
        <f t="shared" si="0"/>
        <v>-1.2798655462184875E-2</v>
      </c>
      <c r="I8" s="45">
        <f t="shared" si="1"/>
        <v>-2.5597310924369747E-3</v>
      </c>
      <c r="J8" s="34">
        <f t="shared" si="2"/>
        <v>-2.5597310924369747</v>
      </c>
      <c r="K8" s="38">
        <f t="shared" si="3"/>
        <v>-1.5998319327731092</v>
      </c>
    </row>
    <row r="9" spans="3:11" x14ac:dyDescent="0.35">
      <c r="C9" s="23" t="s">
        <v>51</v>
      </c>
      <c r="D9" s="29" t="s">
        <v>31</v>
      </c>
      <c r="E9" s="24" t="s">
        <v>32</v>
      </c>
      <c r="F9" s="23" t="s">
        <v>42</v>
      </c>
      <c r="G9" s="42">
        <v>41.08</v>
      </c>
      <c r="H9" s="35">
        <f t="shared" si="0"/>
        <v>-1.2342857142857143E-2</v>
      </c>
      <c r="I9" s="46">
        <f t="shared" si="1"/>
        <v>-2.4685714285714285E-3</v>
      </c>
      <c r="J9" s="36">
        <f t="shared" si="2"/>
        <v>-2.4685714285714284</v>
      </c>
      <c r="K9" s="39">
        <f t="shared" si="3"/>
        <v>-1.5428571428571427</v>
      </c>
    </row>
    <row r="10" spans="3:11" x14ac:dyDescent="0.35">
      <c r="C10" s="23" t="s">
        <v>52</v>
      </c>
      <c r="D10" s="29" t="s">
        <v>30</v>
      </c>
      <c r="E10" s="24" t="s">
        <v>32</v>
      </c>
      <c r="F10" s="23" t="s">
        <v>43</v>
      </c>
      <c r="G10" s="43">
        <v>239.4</v>
      </c>
      <c r="H10" s="31">
        <f t="shared" si="0"/>
        <v>1.432201680672269E-2</v>
      </c>
      <c r="I10" s="44">
        <f t="shared" si="1"/>
        <v>2.8644033613445382E-3</v>
      </c>
      <c r="J10" s="32">
        <f t="shared" si="2"/>
        <v>2.8644033613445381</v>
      </c>
      <c r="K10" s="37">
        <f t="shared" si="3"/>
        <v>1.7902521008403363</v>
      </c>
    </row>
    <row r="11" spans="3:11" x14ac:dyDescent="0.35">
      <c r="C11" s="23" t="s">
        <v>53</v>
      </c>
      <c r="D11" s="29" t="s">
        <v>30</v>
      </c>
      <c r="E11" s="24" t="s">
        <v>32</v>
      </c>
      <c r="F11" s="23" t="s">
        <v>43</v>
      </c>
      <c r="G11" s="41">
        <v>137.49</v>
      </c>
      <c r="H11" s="33">
        <f t="shared" si="0"/>
        <v>6.1983193277311108E-4</v>
      </c>
      <c r="I11" s="45">
        <f t="shared" si="1"/>
        <v>1.2396638655462223E-4</v>
      </c>
      <c r="J11" s="34">
        <f t="shared" si="2"/>
        <v>0.12396638655462222</v>
      </c>
      <c r="K11" s="38">
        <f t="shared" si="3"/>
        <v>7.7478991596638888E-2</v>
      </c>
    </row>
    <row r="12" spans="3:11" x14ac:dyDescent="0.35">
      <c r="C12" s="23" t="s">
        <v>54</v>
      </c>
      <c r="D12" s="29" t="s">
        <v>30</v>
      </c>
      <c r="E12" s="24" t="s">
        <v>32</v>
      </c>
      <c r="F12" s="23" t="s">
        <v>43</v>
      </c>
      <c r="G12" s="42">
        <v>185.1</v>
      </c>
      <c r="H12" s="35">
        <f t="shared" si="0"/>
        <v>7.0211764705882355E-3</v>
      </c>
      <c r="I12" s="46">
        <f t="shared" si="1"/>
        <v>1.4042352941176471E-3</v>
      </c>
      <c r="J12" s="36">
        <f t="shared" si="2"/>
        <v>1.404235294117647</v>
      </c>
      <c r="K12" s="39">
        <f t="shared" si="3"/>
        <v>0.87764705882352945</v>
      </c>
    </row>
    <row r="13" spans="3:11" x14ac:dyDescent="0.35">
      <c r="C13" s="23" t="s">
        <v>55</v>
      </c>
      <c r="D13" s="29" t="s">
        <v>31</v>
      </c>
      <c r="E13" s="24" t="s">
        <v>32</v>
      </c>
      <c r="F13" s="23" t="s">
        <v>43</v>
      </c>
      <c r="G13" s="40">
        <v>66.13</v>
      </c>
      <c r="H13" s="31">
        <f t="shared" si="0"/>
        <v>-8.9747899159663864E-3</v>
      </c>
      <c r="I13" s="44">
        <f t="shared" si="1"/>
        <v>-1.7949579831932772E-3</v>
      </c>
      <c r="J13" s="32">
        <f t="shared" si="2"/>
        <v>-1.7949579831932772</v>
      </c>
      <c r="K13" s="37">
        <f t="shared" si="3"/>
        <v>-1.1218487394957983</v>
      </c>
    </row>
    <row r="14" spans="3:11" x14ac:dyDescent="0.35">
      <c r="C14" s="23" t="s">
        <v>56</v>
      </c>
      <c r="D14" s="29" t="s">
        <v>31</v>
      </c>
      <c r="E14" s="24" t="s">
        <v>32</v>
      </c>
      <c r="F14" s="23" t="s">
        <v>43</v>
      </c>
      <c r="G14" s="41"/>
      <c r="H14" s="33">
        <f t="shared" si="0"/>
        <v>-1.7866218487394957E-2</v>
      </c>
      <c r="I14" s="45">
        <f t="shared" si="1"/>
        <v>-3.5732436974789915E-3</v>
      </c>
      <c r="J14" s="34">
        <f t="shared" si="2"/>
        <v>-3.5732436974789916</v>
      </c>
      <c r="K14" s="38">
        <f t="shared" si="3"/>
        <v>-2.23327731092437</v>
      </c>
    </row>
    <row r="15" spans="3:11" x14ac:dyDescent="0.35">
      <c r="C15" s="23" t="s">
        <v>57</v>
      </c>
      <c r="D15" s="29" t="s">
        <v>31</v>
      </c>
      <c r="E15" s="24" t="s">
        <v>32</v>
      </c>
      <c r="F15" s="23" t="s">
        <v>43</v>
      </c>
      <c r="G15" s="42">
        <v>110.23</v>
      </c>
      <c r="H15" s="35">
        <f t="shared" si="0"/>
        <v>-3.0453781512605029E-3</v>
      </c>
      <c r="I15" s="46">
        <f t="shared" si="1"/>
        <v>-6.0907563025210055E-4</v>
      </c>
      <c r="J15" s="36">
        <f t="shared" si="2"/>
        <v>-0.60907563025210054</v>
      </c>
      <c r="K15" s="39">
        <f t="shared" si="3"/>
        <v>-0.38067226890756284</v>
      </c>
    </row>
    <row r="16" spans="3:11" x14ac:dyDescent="0.35">
      <c r="C16" s="23" t="s">
        <v>58</v>
      </c>
      <c r="D16" s="29" t="s">
        <v>30</v>
      </c>
      <c r="E16" s="24" t="s">
        <v>32</v>
      </c>
      <c r="F16" s="23" t="s">
        <v>44</v>
      </c>
      <c r="G16" s="40">
        <v>77.38</v>
      </c>
      <c r="H16" s="31">
        <f t="shared" si="0"/>
        <v>-7.4621848739495795E-3</v>
      </c>
      <c r="I16" s="44">
        <f t="shared" si="1"/>
        <v>-1.4924369747899159E-3</v>
      </c>
      <c r="J16" s="32">
        <f t="shared" si="2"/>
        <v>-1.4924369747899158</v>
      </c>
      <c r="K16" s="37">
        <f t="shared" si="3"/>
        <v>-0.93277310924369738</v>
      </c>
    </row>
    <row r="17" spans="3:11" x14ac:dyDescent="0.35">
      <c r="C17" s="23" t="s">
        <v>59</v>
      </c>
      <c r="D17" s="29" t="s">
        <v>30</v>
      </c>
      <c r="E17" s="24" t="s">
        <v>32</v>
      </c>
      <c r="F17" s="23" t="s">
        <v>44</v>
      </c>
      <c r="G17" s="41">
        <v>83</v>
      </c>
      <c r="H17" s="33">
        <f t="shared" si="0"/>
        <v>-6.7065546218487392E-3</v>
      </c>
      <c r="I17" s="45">
        <f t="shared" si="1"/>
        <v>-1.3413109243697479E-3</v>
      </c>
      <c r="J17" s="34">
        <f t="shared" si="2"/>
        <v>-1.3413109243697479</v>
      </c>
      <c r="K17" s="38">
        <f t="shared" si="3"/>
        <v>-0.83831932773109241</v>
      </c>
    </row>
    <row r="18" spans="3:11" x14ac:dyDescent="0.35">
      <c r="C18" s="23" t="s">
        <v>60</v>
      </c>
      <c r="D18" s="29" t="s">
        <v>30</v>
      </c>
      <c r="E18" s="24" t="s">
        <v>32</v>
      </c>
      <c r="F18" s="23" t="s">
        <v>44</v>
      </c>
      <c r="G18" s="42">
        <v>28.51</v>
      </c>
      <c r="H18" s="35">
        <f t="shared" si="0"/>
        <v>-1.4032941176470587E-2</v>
      </c>
      <c r="I18" s="46">
        <f t="shared" si="1"/>
        <v>-2.8065882352941171E-3</v>
      </c>
      <c r="J18" s="36">
        <f t="shared" si="2"/>
        <v>-2.8065882352941172</v>
      </c>
      <c r="K18" s="39">
        <f t="shared" si="3"/>
        <v>-1.7541176470588233</v>
      </c>
    </row>
    <row r="19" spans="3:11" x14ac:dyDescent="0.35">
      <c r="C19" s="23" t="s">
        <v>61</v>
      </c>
      <c r="D19" s="29" t="s">
        <v>31</v>
      </c>
      <c r="E19" s="24" t="s">
        <v>32</v>
      </c>
      <c r="F19" s="23" t="s">
        <v>44</v>
      </c>
      <c r="G19" s="40">
        <v>234.02</v>
      </c>
      <c r="H19" s="31">
        <f t="shared" si="0"/>
        <v>1.3598655462184877E-2</v>
      </c>
      <c r="I19" s="44">
        <f t="shared" si="1"/>
        <v>2.7197310924369751E-3</v>
      </c>
      <c r="J19" s="32">
        <f t="shared" si="2"/>
        <v>2.7197310924369753</v>
      </c>
      <c r="K19" s="37">
        <f t="shared" si="3"/>
        <v>1.6998319327731095</v>
      </c>
    </row>
    <row r="20" spans="3:11" x14ac:dyDescent="0.35">
      <c r="C20" s="23" t="s">
        <v>62</v>
      </c>
      <c r="D20" s="29" t="s">
        <v>31</v>
      </c>
      <c r="E20" s="24" t="s">
        <v>32</v>
      </c>
      <c r="F20" s="23" t="s">
        <v>44</v>
      </c>
      <c r="G20" s="41">
        <v>493.91</v>
      </c>
      <c r="H20" s="33">
        <f t="shared" si="0"/>
        <v>4.8541848739495803E-2</v>
      </c>
      <c r="I20" s="45">
        <f t="shared" si="1"/>
        <v>9.7083697478991607E-3</v>
      </c>
      <c r="J20" s="34">
        <f t="shared" si="2"/>
        <v>9.7083697478991606</v>
      </c>
      <c r="K20" s="38">
        <f t="shared" si="3"/>
        <v>6.0677310924369756</v>
      </c>
    </row>
    <row r="21" spans="3:11" x14ac:dyDescent="0.35">
      <c r="C21" s="23" t="s">
        <v>63</v>
      </c>
      <c r="D21" s="29" t="s">
        <v>31</v>
      </c>
      <c r="E21" s="24" t="s">
        <v>32</v>
      </c>
      <c r="F21" s="23" t="s">
        <v>44</v>
      </c>
      <c r="G21" s="42">
        <v>225.93</v>
      </c>
      <c r="H21" s="35">
        <f t="shared" si="0"/>
        <v>1.25109243697479E-2</v>
      </c>
      <c r="I21" s="46">
        <f t="shared" si="1"/>
        <v>2.50218487394958E-3</v>
      </c>
      <c r="J21" s="36">
        <f t="shared" si="2"/>
        <v>2.50218487394958</v>
      </c>
      <c r="K21" s="39">
        <f t="shared" si="3"/>
        <v>1.5638655462184876</v>
      </c>
    </row>
    <row r="22" spans="3:11" x14ac:dyDescent="0.35">
      <c r="C22" s="23" t="s">
        <v>64</v>
      </c>
      <c r="D22" s="29" t="s">
        <v>30</v>
      </c>
      <c r="E22" s="24" t="s">
        <v>32</v>
      </c>
      <c r="F22" s="23" t="s">
        <v>33</v>
      </c>
      <c r="G22" s="40">
        <v>8.69</v>
      </c>
      <c r="H22" s="31">
        <f t="shared" si="0"/>
        <v>-1.6697815126050421E-2</v>
      </c>
      <c r="I22" s="44">
        <f t="shared" si="1"/>
        <v>-3.3395630252100843E-3</v>
      </c>
      <c r="J22" s="32">
        <f t="shared" si="2"/>
        <v>-3.3395630252100843</v>
      </c>
      <c r="K22" s="37">
        <f t="shared" si="3"/>
        <v>-2.0872268907563027</v>
      </c>
    </row>
    <row r="23" spans="3:11" x14ac:dyDescent="0.35">
      <c r="C23" s="23" t="s">
        <v>65</v>
      </c>
      <c r="D23" s="29" t="s">
        <v>30</v>
      </c>
      <c r="E23" s="24" t="s">
        <v>32</v>
      </c>
      <c r="F23" s="23" t="s">
        <v>33</v>
      </c>
      <c r="G23" s="41">
        <v>7.76</v>
      </c>
      <c r="H23" s="33">
        <f t="shared" si="0"/>
        <v>-1.6822857142857143E-2</v>
      </c>
      <c r="I23" s="45">
        <f t="shared" si="1"/>
        <v>-3.3645714285714286E-3</v>
      </c>
      <c r="J23" s="34">
        <f t="shared" si="2"/>
        <v>-3.3645714285714288</v>
      </c>
      <c r="K23" s="38">
        <f t="shared" si="3"/>
        <v>-2.1028571428571432</v>
      </c>
    </row>
    <row r="24" spans="3:11" x14ac:dyDescent="0.35">
      <c r="C24" s="23" t="s">
        <v>66</v>
      </c>
      <c r="D24" s="29" t="s">
        <v>30</v>
      </c>
      <c r="E24" s="24" t="s">
        <v>32</v>
      </c>
      <c r="F24" s="23" t="s">
        <v>33</v>
      </c>
      <c r="G24" s="42">
        <v>8.5500000000000007</v>
      </c>
      <c r="H24" s="35">
        <f t="shared" si="0"/>
        <v>-1.6716638655462183E-2</v>
      </c>
      <c r="I24" s="46">
        <f t="shared" si="1"/>
        <v>-3.3433277310924367E-3</v>
      </c>
      <c r="J24" s="36">
        <f t="shared" si="2"/>
        <v>-3.3433277310924367</v>
      </c>
      <c r="K24" s="39">
        <f t="shared" si="3"/>
        <v>-2.089579831932773</v>
      </c>
    </row>
    <row r="25" spans="3:11" x14ac:dyDescent="0.35">
      <c r="C25" s="23" t="s">
        <v>67</v>
      </c>
      <c r="D25" s="29" t="s">
        <v>31</v>
      </c>
      <c r="E25" s="24" t="s">
        <v>32</v>
      </c>
      <c r="F25" s="23" t="s">
        <v>33</v>
      </c>
      <c r="G25" s="40">
        <v>73.09</v>
      </c>
      <c r="H25" s="31">
        <f t="shared" si="0"/>
        <v>-8.038991596638654E-3</v>
      </c>
      <c r="I25" s="44">
        <f t="shared" si="1"/>
        <v>-1.6077983193277308E-3</v>
      </c>
      <c r="J25" s="32">
        <f t="shared" si="2"/>
        <v>-1.6077983193277308</v>
      </c>
      <c r="K25" s="37">
        <f t="shared" si="3"/>
        <v>-1.0048739495798318</v>
      </c>
    </row>
    <row r="26" spans="3:11" x14ac:dyDescent="0.35">
      <c r="C26" s="23" t="s">
        <v>68</v>
      </c>
      <c r="D26" s="29" t="s">
        <v>31</v>
      </c>
      <c r="E26" s="24" t="s">
        <v>32</v>
      </c>
      <c r="F26" s="23" t="s">
        <v>33</v>
      </c>
      <c r="G26" s="41">
        <v>163.31</v>
      </c>
      <c r="H26" s="33">
        <f t="shared" si="0"/>
        <v>4.0914285714285722E-3</v>
      </c>
      <c r="I26" s="45">
        <f t="shared" si="1"/>
        <v>8.1828571428571443E-4</v>
      </c>
      <c r="J26" s="34">
        <f t="shared" si="2"/>
        <v>0.81828571428571439</v>
      </c>
      <c r="K26" s="38">
        <f t="shared" si="3"/>
        <v>0.51142857142857145</v>
      </c>
    </row>
    <row r="27" spans="3:11" x14ac:dyDescent="0.35">
      <c r="C27" s="23" t="s">
        <v>69</v>
      </c>
      <c r="D27" s="29" t="s">
        <v>31</v>
      </c>
      <c r="E27" s="24" t="s">
        <v>32</v>
      </c>
      <c r="F27" s="23" t="s">
        <v>33</v>
      </c>
      <c r="G27" s="42">
        <v>58.42</v>
      </c>
      <c r="H27" s="35">
        <f t="shared" si="0"/>
        <v>-1.001142857142857E-2</v>
      </c>
      <c r="I27" s="46">
        <f t="shared" si="1"/>
        <v>-2.0022857142857143E-3</v>
      </c>
      <c r="J27" s="36">
        <f t="shared" si="2"/>
        <v>-2.0022857142857142</v>
      </c>
      <c r="K27" s="39">
        <f t="shared" si="3"/>
        <v>-1.2514285714285713</v>
      </c>
    </row>
    <row r="28" spans="3:11" x14ac:dyDescent="0.35">
      <c r="C28" s="23" t="s">
        <v>70</v>
      </c>
      <c r="D28" s="29" t="s">
        <v>30</v>
      </c>
      <c r="E28" s="24" t="s">
        <v>32</v>
      </c>
      <c r="F28" s="23" t="s">
        <v>34</v>
      </c>
      <c r="G28" s="40">
        <v>47.76</v>
      </c>
      <c r="H28" s="31">
        <f t="shared" si="0"/>
        <v>-1.1444705882352942E-2</v>
      </c>
      <c r="I28" s="44">
        <f t="shared" si="1"/>
        <v>-2.2889411764705882E-3</v>
      </c>
      <c r="J28" s="32">
        <f t="shared" si="2"/>
        <v>-2.2889411764705883</v>
      </c>
      <c r="K28" s="37">
        <f t="shared" si="3"/>
        <v>-1.4305882352941177</v>
      </c>
    </row>
    <row r="29" spans="3:11" x14ac:dyDescent="0.35">
      <c r="C29" s="23" t="s">
        <v>71</v>
      </c>
      <c r="D29" s="29" t="s">
        <v>30</v>
      </c>
      <c r="E29" s="24" t="s">
        <v>32</v>
      </c>
      <c r="F29" s="23" t="s">
        <v>34</v>
      </c>
      <c r="G29" s="41">
        <v>22.74</v>
      </c>
      <c r="H29" s="33">
        <f t="shared" si="0"/>
        <v>-1.4808739495798319E-2</v>
      </c>
      <c r="I29" s="45">
        <f t="shared" si="1"/>
        <v>-2.9617478991596636E-3</v>
      </c>
      <c r="J29" s="34">
        <f t="shared" si="2"/>
        <v>-2.9617478991596635</v>
      </c>
      <c r="K29" s="38">
        <f t="shared" si="3"/>
        <v>-1.8510924369747896</v>
      </c>
    </row>
    <row r="30" spans="3:11" x14ac:dyDescent="0.35">
      <c r="C30" s="23" t="s">
        <v>72</v>
      </c>
      <c r="D30" s="29" t="s">
        <v>30</v>
      </c>
      <c r="E30" s="24" t="s">
        <v>32</v>
      </c>
      <c r="F30" s="23" t="s">
        <v>34</v>
      </c>
      <c r="G30" s="42">
        <v>58.02</v>
      </c>
      <c r="H30" s="35">
        <f t="shared" si="0"/>
        <v>-1.0065210084033611E-2</v>
      </c>
      <c r="I30" s="46">
        <f t="shared" si="1"/>
        <v>-2.0130420168067223E-3</v>
      </c>
      <c r="J30" s="36">
        <f t="shared" si="2"/>
        <v>-2.0130420168067222</v>
      </c>
      <c r="K30" s="39">
        <f t="shared" si="3"/>
        <v>-1.2581512605042013</v>
      </c>
    </row>
    <row r="31" spans="3:11" x14ac:dyDescent="0.35">
      <c r="C31" s="23" t="s">
        <v>73</v>
      </c>
      <c r="D31" s="29" t="s">
        <v>31</v>
      </c>
      <c r="E31" s="24" t="s">
        <v>32</v>
      </c>
      <c r="F31" s="23" t="s">
        <v>34</v>
      </c>
      <c r="G31" s="40">
        <v>163.57</v>
      </c>
      <c r="H31" s="31">
        <f t="shared" si="0"/>
        <v>4.1263865546218486E-3</v>
      </c>
      <c r="I31" s="44">
        <f t="shared" si="1"/>
        <v>8.2527731092436971E-4</v>
      </c>
      <c r="J31" s="32">
        <f t="shared" si="2"/>
        <v>0.82527731092436973</v>
      </c>
      <c r="K31" s="37">
        <f t="shared" si="3"/>
        <v>0.51579831932773113</v>
      </c>
    </row>
    <row r="32" spans="3:11" x14ac:dyDescent="0.35">
      <c r="C32" s="23" t="s">
        <v>74</v>
      </c>
      <c r="D32" s="29" t="s">
        <v>31</v>
      </c>
      <c r="E32" s="24" t="s">
        <v>32</v>
      </c>
      <c r="F32" s="23" t="s">
        <v>34</v>
      </c>
      <c r="G32" s="41">
        <v>164.5</v>
      </c>
      <c r="H32" s="33">
        <f t="shared" si="0"/>
        <v>4.2514285714285718E-3</v>
      </c>
      <c r="I32" s="45">
        <f t="shared" si="1"/>
        <v>8.5028571428571434E-4</v>
      </c>
      <c r="J32" s="34">
        <f t="shared" si="2"/>
        <v>0.85028571428571431</v>
      </c>
      <c r="K32" s="38">
        <f t="shared" si="3"/>
        <v>0.53142857142857147</v>
      </c>
    </row>
    <row r="33" spans="3:11" x14ac:dyDescent="0.35">
      <c r="C33" s="23" t="s">
        <v>75</v>
      </c>
      <c r="D33" s="29" t="s">
        <v>31</v>
      </c>
      <c r="E33" s="24" t="s">
        <v>32</v>
      </c>
      <c r="F33" s="23" t="s">
        <v>34</v>
      </c>
      <c r="G33" s="42">
        <v>99.97</v>
      </c>
      <c r="H33" s="35">
        <f t="shared" si="0"/>
        <v>-4.4248739495798316E-3</v>
      </c>
      <c r="I33" s="46">
        <f t="shared" si="1"/>
        <v>-8.8497478991596636E-4</v>
      </c>
      <c r="J33" s="36">
        <f t="shared" si="2"/>
        <v>-0.88497478991596634</v>
      </c>
      <c r="K33" s="39">
        <f t="shared" si="3"/>
        <v>-0.55310924369747894</v>
      </c>
    </row>
    <row r="37" spans="3:11" x14ac:dyDescent="0.35">
      <c r="C37" s="30" t="s">
        <v>83</v>
      </c>
      <c r="D37" s="18"/>
      <c r="E37" s="18"/>
      <c r="F37" s="18"/>
    </row>
    <row r="38" spans="3:11" x14ac:dyDescent="0.35">
      <c r="C38" s="18" t="s">
        <v>84</v>
      </c>
      <c r="D38" s="18"/>
      <c r="E38" s="18"/>
      <c r="F38" s="18"/>
      <c r="G38" s="18" t="s">
        <v>93</v>
      </c>
      <c r="H38" s="18" t="s">
        <v>92</v>
      </c>
      <c r="I38" s="18" t="s">
        <v>85</v>
      </c>
      <c r="J38" s="18" t="s">
        <v>76</v>
      </c>
    </row>
    <row r="39" spans="3:11" x14ac:dyDescent="0.35">
      <c r="G39" s="17">
        <v>0.01</v>
      </c>
      <c r="H39" s="17">
        <v>1</v>
      </c>
      <c r="I39" s="19">
        <v>0.01</v>
      </c>
      <c r="J39" s="17">
        <v>89.955000000000013</v>
      </c>
    </row>
    <row r="40" spans="3:11" x14ac:dyDescent="0.35">
      <c r="G40" s="17">
        <v>0.1</v>
      </c>
      <c r="H40" s="17">
        <v>1</v>
      </c>
      <c r="I40" s="19">
        <v>0.1</v>
      </c>
      <c r="J40" s="17">
        <v>788.18000000000006</v>
      </c>
    </row>
    <row r="41" spans="3:11" x14ac:dyDescent="0.35">
      <c r="G41" s="17">
        <v>1</v>
      </c>
      <c r="H41" s="17">
        <v>1</v>
      </c>
      <c r="I41" s="19">
        <v>1</v>
      </c>
      <c r="J41" s="17">
        <v>7971.835</v>
      </c>
    </row>
    <row r="42" spans="3:11" x14ac:dyDescent="0.35">
      <c r="G42" s="17">
        <v>2</v>
      </c>
      <c r="H42" s="17">
        <v>1</v>
      </c>
      <c r="I42" s="19">
        <v>2</v>
      </c>
      <c r="J42" s="17">
        <v>14812.105</v>
      </c>
    </row>
  </sheetData>
  <mergeCells count="1">
    <mergeCell ref="G1:K1"/>
  </mergeCells>
  <conditionalFormatting sqref="G4:G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{B7D87224-F074-465E-8AD5-FE4E91326561}</x14:id>
        </ext>
      </extLst>
    </cfRule>
  </conditionalFormatting>
  <conditionalFormatting sqref="K4:K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D87224-F074-465E-8AD5-FE4E91326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G4:G33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Labels</vt:lpstr>
      <vt:lpstr>Samples description</vt:lpstr>
      <vt:lpstr>Quantification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Sigrist</dc:creator>
  <cp:lastModifiedBy>Renata Sigrist</cp:lastModifiedBy>
  <dcterms:created xsi:type="dcterms:W3CDTF">2023-12-04T14:08:58Z</dcterms:created>
  <dcterms:modified xsi:type="dcterms:W3CDTF">2023-12-06T14:01:00Z</dcterms:modified>
</cp:coreProperties>
</file>