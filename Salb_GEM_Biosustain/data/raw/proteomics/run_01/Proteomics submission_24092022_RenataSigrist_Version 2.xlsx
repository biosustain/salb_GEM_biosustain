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er\AppData\Local\Microsoft\Windows\INetCache\Content.Outlook\LDYNVO1T\"/>
    </mc:Choice>
  </mc:AlternateContent>
  <bookViews>
    <workbookView xWindow="0" yWindow="0" windowWidth="32914" windowHeight="14803"/>
  </bookViews>
  <sheets>
    <sheet name="Samples name and conc." sheetId="1" r:id="rId1"/>
    <sheet name="Samples in plate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2" i="1"/>
  <c r="B2" i="2" l="1"/>
</calcChain>
</file>

<file path=xl/sharedStrings.xml><?xml version="1.0" encoding="utf-8"?>
<sst xmlns="http://schemas.openxmlformats.org/spreadsheetml/2006/main" count="70" uniqueCount="68">
  <si>
    <t>Name</t>
  </si>
  <si>
    <t>Sample ID</t>
  </si>
  <si>
    <t>S iranensis_ISP2_day2_Triplicate1</t>
  </si>
  <si>
    <t>S iranensis_ISP2_day2_Triplicate2</t>
  </si>
  <si>
    <t>S iranensis_ISP2_day2_Triplicate3</t>
  </si>
  <si>
    <t>J1074_del6_PTA_ISP4_day2_Triplicate1</t>
  </si>
  <si>
    <t>J1074_del6_PTA_ISP4_day2_Triplicate2</t>
  </si>
  <si>
    <t>J1074_del6_PTA_ISP4_day2_Triplicate3</t>
  </si>
  <si>
    <t>J1074_del6_CSF_day2_Triplicate1</t>
  </si>
  <si>
    <t>J1074_del6_CSF_day2_Triplicate2</t>
  </si>
  <si>
    <t>J1074_del6_CSF_day2_Triplicate3</t>
  </si>
  <si>
    <t>S iranensis_ISP4_day2_Triplicate1</t>
  </si>
  <si>
    <t>S iranensis_ISP4_day2_Triplicate2</t>
  </si>
  <si>
    <t>S iranensis_ISP4_day2_Triplicate3</t>
  </si>
  <si>
    <t>S iranensis_CSF_day2_Triplicate1</t>
  </si>
  <si>
    <t>S iranensis_CSF_day2_Triplicate2</t>
  </si>
  <si>
    <t>S iranensis_CSF_day2_Triplicate3</t>
  </si>
  <si>
    <t>J1074_del6_PTA_ISP2_day2_Triplicate1</t>
  </si>
  <si>
    <t>J1074_del6_PTA_ISP2_day2_Triplicate2</t>
  </si>
  <si>
    <t>J1074_del6_PTA_ISP2_day2_Triplicate3</t>
  </si>
  <si>
    <t>J1074_del6_PTA_CSF_day2_Triplicate1</t>
  </si>
  <si>
    <t>J1074_del6_PTA_CSF_day2_Triplicate2</t>
  </si>
  <si>
    <t>J1074_del6_PTA_CSF_day2_Triplicate3</t>
  </si>
  <si>
    <t>J1074_del6_ISP2_day2_Triplicate1</t>
  </si>
  <si>
    <t>J1074_del6_ISP2_day2_Triplicate2</t>
  </si>
  <si>
    <t>J1074_del6_ISP2_day2_Triplicate3</t>
  </si>
  <si>
    <t>J1074_del6_ISP4_day2_Triplicate1</t>
  </si>
  <si>
    <t>J1074_del6_ISP4_day2_Triplicate2</t>
  </si>
  <si>
    <t>J1074_del6_ISP4_day2_Triplicate3</t>
  </si>
  <si>
    <t>S iranensis_ISP2_day7_Triplicate1</t>
  </si>
  <si>
    <t>S iranensis_ISP2_day7_Triplicate2</t>
  </si>
  <si>
    <t>S iranensis_ISP2_day7_Triplicate3</t>
  </si>
  <si>
    <t>S iranensis_ISP4_day7_Triplicate1</t>
  </si>
  <si>
    <t>S iranensis_ISP4_day7_Triplicate2</t>
  </si>
  <si>
    <t>S iranensis_ISP4_day7_Triplicate3</t>
  </si>
  <si>
    <t>S iranensis_CSF_day7_Triplicate1</t>
  </si>
  <si>
    <t>S iranensis_CSF_day7_Triplicate2</t>
  </si>
  <si>
    <t>S iranensis_CSF_day7_Triplicate3</t>
  </si>
  <si>
    <t>J1074_del6_PTA_ISP2_day7_Triplicate1</t>
  </si>
  <si>
    <t>J1074_del6_PTA_ISP2_day7_Triplicate2</t>
  </si>
  <si>
    <t>J1074_del6_PTA_ISP2_day7_Triplicate3</t>
  </si>
  <si>
    <t>J1074_del6_PTA_ISP4_day7_Triplicate1</t>
  </si>
  <si>
    <t>J1074_del6_PTA_ISP4_day7_Triplicate2</t>
  </si>
  <si>
    <t>J1074_del6_PTA_CSF_day7_Triplicate1</t>
  </si>
  <si>
    <t>J1074_del6_PTA_CSF_day7_Triplicate2</t>
  </si>
  <si>
    <t>J1074_del6_PTA_CSF_day7_Triplicate3</t>
  </si>
  <si>
    <t>J1074_del6_ISP2_day7_Triplicate1</t>
  </si>
  <si>
    <t>J1074_del6_ISP2_day7_Triplicate2</t>
  </si>
  <si>
    <t>J1074_del6_ISP2_day7_Triplicate3</t>
  </si>
  <si>
    <t>J1074_del6_ISP4_day7_Triplicate1</t>
  </si>
  <si>
    <t>J1074_del6_ISP4_day7_Triplicate2</t>
  </si>
  <si>
    <t>J1074_del6_ISP4_day7_Triplicate3</t>
  </si>
  <si>
    <t>J1074_del6_CSF_day7_Triplicate1</t>
  </si>
  <si>
    <t>J1074_del6_CSF_day7_Triplicate2</t>
  </si>
  <si>
    <t>J1074_del6_CSF_day7_Triplicate3</t>
  </si>
  <si>
    <t>A</t>
  </si>
  <si>
    <t>B</t>
  </si>
  <si>
    <t>C</t>
  </si>
  <si>
    <t>D</t>
  </si>
  <si>
    <t>Empty</t>
  </si>
  <si>
    <t>E</t>
  </si>
  <si>
    <t>F</t>
  </si>
  <si>
    <t>G</t>
  </si>
  <si>
    <t>H</t>
  </si>
  <si>
    <t>Dilutet</t>
  </si>
  <si>
    <t>Messured Conc. ug/ul</t>
  </si>
  <si>
    <t>Total protein extracted - ug</t>
  </si>
  <si>
    <t>Volume of lysisbuffer - 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</si>
</sst>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0" fillId="0" borderId="1" xfId="0" applyNumberFormat="1" applyBorder="1" applyAlignment="1"/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nalytics\Proteomics\Projects\Sample%20prep_From%20August%202022\Sample%20prep_0005_Renata\Project_Sample%20prep_0005_Renata_plat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es"/>
      <sheetName val="layout protein measurements"/>
      <sheetName val="Protein measuremnets"/>
      <sheetName val="Loading"/>
      <sheetName val="Stagetipping"/>
      <sheetName val="Random 1"/>
      <sheetName val="Readout plate reader"/>
      <sheetName val="Samples stagetip in well plate"/>
    </sheetNames>
    <sheetDataSet>
      <sheetData sheetId="0">
        <row r="1">
          <cell r="C1" t="str">
            <v>Sample prep_0005_Renata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tabSelected="1" workbookViewId="0">
      <selection activeCell="I8" sqref="I8"/>
    </sheetView>
  </sheetViews>
  <sheetFormatPr defaultRowHeight="14.6" x14ac:dyDescent="0.4"/>
  <cols>
    <col min="1" max="1" width="10.4609375" style="1" customWidth="1"/>
    <col min="2" max="2" width="38.15234375" customWidth="1"/>
    <col min="3" max="4" width="12.15234375" customWidth="1"/>
    <col min="5" max="5" width="13" customWidth="1"/>
    <col min="6" max="6" width="16.61328125" style="9" customWidth="1"/>
  </cols>
  <sheetData>
    <row r="1" spans="1:6" s="12" customFormat="1" ht="43.75" x14ac:dyDescent="0.4">
      <c r="A1" s="10" t="s">
        <v>1</v>
      </c>
      <c r="B1" s="11" t="s">
        <v>0</v>
      </c>
      <c r="C1" s="11" t="s">
        <v>64</v>
      </c>
      <c r="D1" s="11" t="s">
        <v>67</v>
      </c>
      <c r="E1" s="11" t="s">
        <v>65</v>
      </c>
      <c r="F1" s="13" t="s">
        <v>66</v>
      </c>
    </row>
    <row r="2" spans="1:6" x14ac:dyDescent="0.4">
      <c r="A2" s="3">
        <v>1</v>
      </c>
      <c r="B2" s="2" t="s">
        <v>2</v>
      </c>
      <c r="C2" s="2">
        <v>2</v>
      </c>
      <c r="D2" s="2">
        <v>200</v>
      </c>
      <c r="E2" s="4">
        <v>3.8889502762430932</v>
      </c>
      <c r="F2" s="8">
        <f>C2*D2*E2</f>
        <v>1555.5801104972372</v>
      </c>
    </row>
    <row r="3" spans="1:6" x14ac:dyDescent="0.4">
      <c r="A3" s="3">
        <v>2</v>
      </c>
      <c r="B3" s="2" t="s">
        <v>3</v>
      </c>
      <c r="C3" s="2">
        <v>2</v>
      </c>
      <c r="D3" s="2">
        <v>200</v>
      </c>
      <c r="E3" s="4">
        <v>3.4928176795580113</v>
      </c>
      <c r="F3" s="8">
        <f t="shared" ref="F3:F54" si="0">C3*D3*E3</f>
        <v>1397.1270718232045</v>
      </c>
    </row>
    <row r="4" spans="1:6" x14ac:dyDescent="0.4">
      <c r="A4" s="3">
        <v>3</v>
      </c>
      <c r="B4" s="2" t="s">
        <v>4</v>
      </c>
      <c r="C4" s="2">
        <v>2</v>
      </c>
      <c r="D4" s="2">
        <v>200</v>
      </c>
      <c r="E4" s="4">
        <v>3.1574585635359118</v>
      </c>
      <c r="F4" s="8">
        <f t="shared" si="0"/>
        <v>1262.9834254143648</v>
      </c>
    </row>
    <row r="5" spans="1:6" x14ac:dyDescent="0.4">
      <c r="A5" s="3">
        <v>4</v>
      </c>
      <c r="B5" s="2" t="s">
        <v>11</v>
      </c>
      <c r="C5" s="2">
        <v>2</v>
      </c>
      <c r="D5" s="2">
        <v>100</v>
      </c>
      <c r="E5" s="4">
        <v>0.61215469613259677</v>
      </c>
      <c r="F5" s="8">
        <f t="shared" si="0"/>
        <v>122.43093922651936</v>
      </c>
    </row>
    <row r="6" spans="1:6" x14ac:dyDescent="0.4">
      <c r="A6" s="3">
        <v>5</v>
      </c>
      <c r="B6" s="2" t="s">
        <v>12</v>
      </c>
      <c r="C6" s="2">
        <v>2</v>
      </c>
      <c r="D6" s="2">
        <v>100</v>
      </c>
      <c r="E6" s="4">
        <v>0.2204419889502762</v>
      </c>
      <c r="F6" s="8">
        <f t="shared" si="0"/>
        <v>44.08839779005524</v>
      </c>
    </row>
    <row r="7" spans="1:6" x14ac:dyDescent="0.4">
      <c r="A7" s="3">
        <v>6</v>
      </c>
      <c r="B7" s="2" t="s">
        <v>13</v>
      </c>
      <c r="C7" s="2">
        <v>2</v>
      </c>
      <c r="D7" s="2">
        <v>100</v>
      </c>
      <c r="E7" s="4">
        <v>0.26906077348066282</v>
      </c>
      <c r="F7" s="8">
        <f t="shared" si="0"/>
        <v>53.812154696132566</v>
      </c>
    </row>
    <row r="8" spans="1:6" x14ac:dyDescent="0.4">
      <c r="A8" s="3">
        <v>7</v>
      </c>
      <c r="B8" s="2" t="s">
        <v>14</v>
      </c>
      <c r="C8" s="2">
        <v>2</v>
      </c>
      <c r="D8" s="2">
        <v>100</v>
      </c>
      <c r="E8" s="4">
        <v>2.7419889502762431</v>
      </c>
      <c r="F8" s="8">
        <f t="shared" si="0"/>
        <v>548.39779005524861</v>
      </c>
    </row>
    <row r="9" spans="1:6" x14ac:dyDescent="0.4">
      <c r="A9" s="3">
        <v>8</v>
      </c>
      <c r="B9" s="2" t="s">
        <v>15</v>
      </c>
      <c r="C9" s="2">
        <v>2</v>
      </c>
      <c r="D9" s="2">
        <v>100</v>
      </c>
      <c r="E9" s="4">
        <v>2.849171270718232</v>
      </c>
      <c r="F9" s="8">
        <f t="shared" si="0"/>
        <v>569.83425414364638</v>
      </c>
    </row>
    <row r="10" spans="1:6" x14ac:dyDescent="0.4">
      <c r="A10" s="3">
        <v>9</v>
      </c>
      <c r="B10" s="2" t="s">
        <v>16</v>
      </c>
      <c r="C10" s="2">
        <v>2</v>
      </c>
      <c r="D10" s="2">
        <v>100</v>
      </c>
      <c r="E10" s="4">
        <v>3.0845303867403309</v>
      </c>
      <c r="F10" s="8">
        <f t="shared" si="0"/>
        <v>616.90607734806622</v>
      </c>
    </row>
    <row r="11" spans="1:6" x14ac:dyDescent="0.4">
      <c r="A11" s="3">
        <v>10</v>
      </c>
      <c r="B11" s="2" t="s">
        <v>17</v>
      </c>
      <c r="C11" s="2">
        <v>2</v>
      </c>
      <c r="D11" s="2">
        <v>100</v>
      </c>
      <c r="E11" s="4">
        <v>1.2950276243093926</v>
      </c>
      <c r="F11" s="8">
        <f t="shared" si="0"/>
        <v>259.00552486187848</v>
      </c>
    </row>
    <row r="12" spans="1:6" x14ac:dyDescent="0.4">
      <c r="A12" s="3">
        <v>11</v>
      </c>
      <c r="B12" s="2" t="s">
        <v>18</v>
      </c>
      <c r="C12" s="2">
        <v>2</v>
      </c>
      <c r="D12" s="2">
        <v>100</v>
      </c>
      <c r="E12" s="4">
        <v>1.265745856353591</v>
      </c>
      <c r="F12" s="8">
        <f t="shared" si="0"/>
        <v>253.1491712707182</v>
      </c>
    </row>
    <row r="13" spans="1:6" x14ac:dyDescent="0.4">
      <c r="A13" s="3">
        <v>12</v>
      </c>
      <c r="B13" s="2" t="s">
        <v>19</v>
      </c>
      <c r="C13" s="2">
        <v>2</v>
      </c>
      <c r="D13" s="2">
        <v>100</v>
      </c>
      <c r="E13" s="4">
        <v>1.5795580110497234</v>
      </c>
      <c r="F13" s="8">
        <f t="shared" si="0"/>
        <v>315.9116022099447</v>
      </c>
    </row>
    <row r="14" spans="1:6" x14ac:dyDescent="0.4">
      <c r="A14" s="3">
        <v>13</v>
      </c>
      <c r="B14" s="2" t="s">
        <v>5</v>
      </c>
      <c r="C14" s="2">
        <v>2</v>
      </c>
      <c r="D14" s="2">
        <v>100</v>
      </c>
      <c r="E14" s="4">
        <v>1.0248618784530388</v>
      </c>
      <c r="F14" s="8">
        <f t="shared" si="0"/>
        <v>204.97237569060775</v>
      </c>
    </row>
    <row r="15" spans="1:6" x14ac:dyDescent="0.4">
      <c r="A15" s="3">
        <v>14</v>
      </c>
      <c r="B15" s="2" t="s">
        <v>6</v>
      </c>
      <c r="C15" s="2">
        <v>2</v>
      </c>
      <c r="D15" s="2">
        <v>100</v>
      </c>
      <c r="E15" s="4">
        <v>0.79171270718232034</v>
      </c>
      <c r="F15" s="8">
        <f t="shared" si="0"/>
        <v>158.34254143646407</v>
      </c>
    </row>
    <row r="16" spans="1:6" x14ac:dyDescent="0.4">
      <c r="A16" s="3">
        <v>15</v>
      </c>
      <c r="B16" s="2" t="s">
        <v>7</v>
      </c>
      <c r="C16" s="2">
        <v>2</v>
      </c>
      <c r="D16" s="2">
        <v>100</v>
      </c>
      <c r="E16" s="4">
        <v>0.44917127071823199</v>
      </c>
      <c r="F16" s="8">
        <f t="shared" si="0"/>
        <v>89.83425414364639</v>
      </c>
    </row>
    <row r="17" spans="1:6" x14ac:dyDescent="0.4">
      <c r="A17" s="3">
        <v>16</v>
      </c>
      <c r="B17" s="2" t="s">
        <v>20</v>
      </c>
      <c r="C17" s="2">
        <v>2</v>
      </c>
      <c r="D17" s="2">
        <v>100</v>
      </c>
      <c r="E17" s="4">
        <v>2.2116022099447514</v>
      </c>
      <c r="F17" s="8">
        <f t="shared" si="0"/>
        <v>442.32044198895028</v>
      </c>
    </row>
    <row r="18" spans="1:6" x14ac:dyDescent="0.4">
      <c r="A18" s="3">
        <v>17</v>
      </c>
      <c r="B18" s="2" t="s">
        <v>21</v>
      </c>
      <c r="C18" s="2">
        <v>2</v>
      </c>
      <c r="D18" s="2">
        <v>100</v>
      </c>
      <c r="E18" s="4">
        <v>2.0033149171270717</v>
      </c>
      <c r="F18" s="8">
        <f t="shared" si="0"/>
        <v>400.66298342541432</v>
      </c>
    </row>
    <row r="19" spans="1:6" x14ac:dyDescent="0.4">
      <c r="A19" s="3">
        <v>18</v>
      </c>
      <c r="B19" s="2" t="s">
        <v>22</v>
      </c>
      <c r="C19" s="2">
        <v>2</v>
      </c>
      <c r="D19" s="2">
        <v>100</v>
      </c>
      <c r="E19" s="4">
        <v>2.0580110497237567</v>
      </c>
      <c r="F19" s="8">
        <f t="shared" si="0"/>
        <v>411.60220994475134</v>
      </c>
    </row>
    <row r="20" spans="1:6" x14ac:dyDescent="0.4">
      <c r="A20" s="3">
        <v>19</v>
      </c>
      <c r="B20" s="2" t="s">
        <v>23</v>
      </c>
      <c r="C20" s="2">
        <v>2</v>
      </c>
      <c r="D20" s="2">
        <v>75</v>
      </c>
      <c r="E20" s="4">
        <v>1.6425414364640885</v>
      </c>
      <c r="F20" s="8">
        <f t="shared" si="0"/>
        <v>246.38121546961327</v>
      </c>
    </row>
    <row r="21" spans="1:6" x14ac:dyDescent="0.4">
      <c r="A21" s="3">
        <v>20</v>
      </c>
      <c r="B21" s="2" t="s">
        <v>24</v>
      </c>
      <c r="C21" s="2">
        <v>2</v>
      </c>
      <c r="D21" s="2">
        <v>75</v>
      </c>
      <c r="E21" s="4">
        <v>2.123756906077348</v>
      </c>
      <c r="F21" s="8">
        <f t="shared" si="0"/>
        <v>318.56353591160223</v>
      </c>
    </row>
    <row r="22" spans="1:6" x14ac:dyDescent="0.4">
      <c r="A22" s="3">
        <v>21</v>
      </c>
      <c r="B22" s="2" t="s">
        <v>25</v>
      </c>
      <c r="C22" s="2">
        <v>2</v>
      </c>
      <c r="D22" s="2">
        <v>75</v>
      </c>
      <c r="E22" s="4">
        <v>1.7430939226519337</v>
      </c>
      <c r="F22" s="8">
        <f t="shared" si="0"/>
        <v>261.46408839779008</v>
      </c>
    </row>
    <row r="23" spans="1:6" x14ac:dyDescent="0.4">
      <c r="A23" s="3">
        <v>22</v>
      </c>
      <c r="B23" s="2" t="s">
        <v>26</v>
      </c>
      <c r="C23" s="2">
        <v>2</v>
      </c>
      <c r="D23" s="2">
        <v>75</v>
      </c>
      <c r="E23" s="4">
        <v>1.1839779005524864</v>
      </c>
      <c r="F23" s="8">
        <f t="shared" si="0"/>
        <v>177.59668508287297</v>
      </c>
    </row>
    <row r="24" spans="1:6" x14ac:dyDescent="0.4">
      <c r="A24" s="3">
        <v>23</v>
      </c>
      <c r="B24" s="2" t="s">
        <v>27</v>
      </c>
      <c r="C24" s="2">
        <v>2</v>
      </c>
      <c r="D24" s="2">
        <v>75</v>
      </c>
      <c r="E24" s="4">
        <v>1.0784530386740327</v>
      </c>
      <c r="F24" s="8">
        <f t="shared" si="0"/>
        <v>161.7679558011049</v>
      </c>
    </row>
    <row r="25" spans="1:6" x14ac:dyDescent="0.4">
      <c r="A25" s="3">
        <v>24</v>
      </c>
      <c r="B25" s="2" t="s">
        <v>28</v>
      </c>
      <c r="C25" s="2">
        <v>2</v>
      </c>
      <c r="D25" s="2">
        <v>75</v>
      </c>
      <c r="E25" s="4">
        <v>0.98563535911602218</v>
      </c>
      <c r="F25" s="8">
        <f t="shared" si="0"/>
        <v>147.84530386740332</v>
      </c>
    </row>
    <row r="26" spans="1:6" x14ac:dyDescent="0.4">
      <c r="A26" s="3">
        <v>25</v>
      </c>
      <c r="B26" s="2" t="s">
        <v>8</v>
      </c>
      <c r="C26" s="2">
        <v>2</v>
      </c>
      <c r="D26" s="2">
        <v>150</v>
      </c>
      <c r="E26" s="4">
        <v>1.0629834254143649</v>
      </c>
      <c r="F26" s="8">
        <f t="shared" si="0"/>
        <v>318.89502762430948</v>
      </c>
    </row>
    <row r="27" spans="1:6" x14ac:dyDescent="0.4">
      <c r="A27" s="3">
        <v>26</v>
      </c>
      <c r="B27" s="2" t="s">
        <v>9</v>
      </c>
      <c r="C27" s="2">
        <v>2</v>
      </c>
      <c r="D27" s="2">
        <v>150</v>
      </c>
      <c r="E27" s="4">
        <v>1.805524861878453</v>
      </c>
      <c r="F27" s="8">
        <f t="shared" si="0"/>
        <v>541.6574585635359</v>
      </c>
    </row>
    <row r="28" spans="1:6" x14ac:dyDescent="0.4">
      <c r="A28" s="3">
        <v>27</v>
      </c>
      <c r="B28" s="2" t="s">
        <v>10</v>
      </c>
      <c r="C28" s="2">
        <v>2</v>
      </c>
      <c r="D28" s="2">
        <v>150</v>
      </c>
      <c r="E28" s="4">
        <v>1.5834254143646413</v>
      </c>
      <c r="F28" s="8">
        <f t="shared" si="0"/>
        <v>475.02762430939242</v>
      </c>
    </row>
    <row r="29" spans="1:6" x14ac:dyDescent="0.4">
      <c r="A29" s="3">
        <v>28</v>
      </c>
      <c r="B29" s="2" t="s">
        <v>29</v>
      </c>
      <c r="C29" s="2">
        <v>2</v>
      </c>
      <c r="D29" s="2">
        <v>200</v>
      </c>
      <c r="E29" s="4">
        <v>2.5198895027624313</v>
      </c>
      <c r="F29" s="8">
        <f t="shared" si="0"/>
        <v>1007.9558011049725</v>
      </c>
    </row>
    <row r="30" spans="1:6" x14ac:dyDescent="0.4">
      <c r="A30" s="3">
        <v>29</v>
      </c>
      <c r="B30" s="2" t="s">
        <v>30</v>
      </c>
      <c r="C30" s="2">
        <v>2</v>
      </c>
      <c r="D30" s="2">
        <v>200</v>
      </c>
      <c r="E30" s="4">
        <v>2.3325966850828732</v>
      </c>
      <c r="F30" s="8">
        <f t="shared" si="0"/>
        <v>933.03867403314928</v>
      </c>
    </row>
    <row r="31" spans="1:6" x14ac:dyDescent="0.4">
      <c r="A31" s="3">
        <v>30</v>
      </c>
      <c r="B31" s="2" t="s">
        <v>31</v>
      </c>
      <c r="C31" s="2">
        <v>2</v>
      </c>
      <c r="D31" s="2">
        <v>150</v>
      </c>
      <c r="E31" s="4">
        <v>2.4337016574585637</v>
      </c>
      <c r="F31" s="8">
        <f t="shared" si="0"/>
        <v>730.11049723756912</v>
      </c>
    </row>
    <row r="32" spans="1:6" x14ac:dyDescent="0.4">
      <c r="A32" s="3">
        <v>31</v>
      </c>
      <c r="B32" s="2" t="s">
        <v>32</v>
      </c>
      <c r="C32" s="2">
        <v>2</v>
      </c>
      <c r="D32" s="2">
        <v>50</v>
      </c>
      <c r="E32" s="4">
        <v>0.26187845303867402</v>
      </c>
      <c r="F32" s="8">
        <f t="shared" si="0"/>
        <v>26.187845303867402</v>
      </c>
    </row>
    <row r="33" spans="1:6" x14ac:dyDescent="0.4">
      <c r="A33" s="3">
        <v>32</v>
      </c>
      <c r="B33" s="2" t="s">
        <v>33</v>
      </c>
      <c r="C33" s="2">
        <v>2</v>
      </c>
      <c r="D33" s="2">
        <v>50</v>
      </c>
      <c r="E33" s="4">
        <v>0.37348066298342542</v>
      </c>
      <c r="F33" s="8">
        <f t="shared" si="0"/>
        <v>37.348066298342545</v>
      </c>
    </row>
    <row r="34" spans="1:6" x14ac:dyDescent="0.4">
      <c r="A34" s="3">
        <v>33</v>
      </c>
      <c r="B34" s="2" t="s">
        <v>34</v>
      </c>
      <c r="C34" s="2">
        <v>2</v>
      </c>
      <c r="D34" s="2">
        <v>50</v>
      </c>
      <c r="E34" s="4">
        <v>0.41878453038674024</v>
      </c>
      <c r="F34" s="8">
        <f t="shared" si="0"/>
        <v>41.878453038674024</v>
      </c>
    </row>
    <row r="35" spans="1:6" x14ac:dyDescent="0.4">
      <c r="A35" s="3">
        <v>34</v>
      </c>
      <c r="B35" s="2" t="s">
        <v>35</v>
      </c>
      <c r="C35" s="2">
        <v>2</v>
      </c>
      <c r="D35" s="2">
        <v>100</v>
      </c>
      <c r="E35" s="4">
        <v>2.3027624309392265</v>
      </c>
      <c r="F35" s="8">
        <f t="shared" si="0"/>
        <v>460.55248618784532</v>
      </c>
    </row>
    <row r="36" spans="1:6" x14ac:dyDescent="0.4">
      <c r="A36" s="3">
        <v>35</v>
      </c>
      <c r="B36" s="2" t="s">
        <v>36</v>
      </c>
      <c r="C36" s="2">
        <v>2</v>
      </c>
      <c r="D36" s="2">
        <v>100</v>
      </c>
      <c r="E36" s="4">
        <v>3.0359116022099446</v>
      </c>
      <c r="F36" s="8">
        <f t="shared" si="0"/>
        <v>607.18232044198896</v>
      </c>
    </row>
    <row r="37" spans="1:6" x14ac:dyDescent="0.4">
      <c r="A37" s="3">
        <v>36</v>
      </c>
      <c r="B37" s="2" t="s">
        <v>37</v>
      </c>
      <c r="C37" s="2">
        <v>2</v>
      </c>
      <c r="D37" s="2">
        <v>100</v>
      </c>
      <c r="E37" s="4">
        <v>2.4679558011049725</v>
      </c>
      <c r="F37" s="8">
        <f t="shared" si="0"/>
        <v>493.59116022099448</v>
      </c>
    </row>
    <row r="38" spans="1:6" x14ac:dyDescent="0.4">
      <c r="A38" s="3">
        <v>37</v>
      </c>
      <c r="B38" s="2" t="s">
        <v>38</v>
      </c>
      <c r="C38" s="2">
        <v>2</v>
      </c>
      <c r="D38" s="2">
        <v>50</v>
      </c>
      <c r="E38" s="4">
        <v>1.443436499466382</v>
      </c>
      <c r="F38" s="8">
        <f t="shared" si="0"/>
        <v>144.34364994663821</v>
      </c>
    </row>
    <row r="39" spans="1:6" x14ac:dyDescent="0.4">
      <c r="A39" s="3">
        <v>38</v>
      </c>
      <c r="B39" s="2" t="s">
        <v>39</v>
      </c>
      <c r="C39" s="2">
        <v>2</v>
      </c>
      <c r="D39" s="2">
        <v>50</v>
      </c>
      <c r="E39" s="4">
        <v>1.5426894343649944</v>
      </c>
      <c r="F39" s="8">
        <f t="shared" si="0"/>
        <v>154.26894343649943</v>
      </c>
    </row>
    <row r="40" spans="1:6" x14ac:dyDescent="0.4">
      <c r="A40" s="3">
        <v>39</v>
      </c>
      <c r="B40" s="2" t="s">
        <v>40</v>
      </c>
      <c r="C40" s="2">
        <v>2</v>
      </c>
      <c r="D40" s="2">
        <v>50</v>
      </c>
      <c r="E40" s="4">
        <v>1.5341515474919958</v>
      </c>
      <c r="F40" s="8">
        <f t="shared" si="0"/>
        <v>153.41515474919959</v>
      </c>
    </row>
    <row r="41" spans="1:6" x14ac:dyDescent="0.4">
      <c r="A41" s="3">
        <v>40</v>
      </c>
      <c r="B41" s="2" t="s">
        <v>41</v>
      </c>
      <c r="C41" s="2">
        <v>2</v>
      </c>
      <c r="D41" s="2">
        <v>50</v>
      </c>
      <c r="E41" s="4">
        <v>1.5592315901814304</v>
      </c>
      <c r="F41" s="8">
        <f t="shared" si="0"/>
        <v>155.92315901814305</v>
      </c>
    </row>
    <row r="42" spans="1:6" x14ac:dyDescent="0.4">
      <c r="A42" s="3">
        <v>41</v>
      </c>
      <c r="B42" s="2" t="s">
        <v>42</v>
      </c>
      <c r="C42" s="2">
        <v>2</v>
      </c>
      <c r="D42" s="2">
        <v>50</v>
      </c>
      <c r="E42" s="4">
        <v>0.81590181430096032</v>
      </c>
      <c r="F42" s="8">
        <f t="shared" si="0"/>
        <v>81.590181430096038</v>
      </c>
    </row>
    <row r="43" spans="1:6" x14ac:dyDescent="0.4">
      <c r="A43" s="3">
        <v>42</v>
      </c>
      <c r="B43" s="2" t="s">
        <v>43</v>
      </c>
      <c r="C43" s="2">
        <v>2</v>
      </c>
      <c r="D43" s="2">
        <v>100</v>
      </c>
      <c r="E43" s="4">
        <v>2.6905016008537883</v>
      </c>
      <c r="F43" s="8">
        <f t="shared" si="0"/>
        <v>538.10032017075764</v>
      </c>
    </row>
    <row r="44" spans="1:6" x14ac:dyDescent="0.4">
      <c r="A44" s="3">
        <v>43</v>
      </c>
      <c r="B44" s="2" t="s">
        <v>44</v>
      </c>
      <c r="C44" s="2">
        <v>2</v>
      </c>
      <c r="D44" s="2">
        <v>100</v>
      </c>
      <c r="E44" s="4">
        <v>2.7433297758804693</v>
      </c>
      <c r="F44" s="8">
        <f t="shared" si="0"/>
        <v>548.66595517609392</v>
      </c>
    </row>
    <row r="45" spans="1:6" x14ac:dyDescent="0.4">
      <c r="A45" s="3">
        <v>44</v>
      </c>
      <c r="B45" s="2" t="s">
        <v>45</v>
      </c>
      <c r="C45" s="2">
        <v>2</v>
      </c>
      <c r="D45" s="2">
        <v>100</v>
      </c>
      <c r="E45" s="4">
        <v>1.8569903948772679</v>
      </c>
      <c r="F45" s="8">
        <f t="shared" si="0"/>
        <v>371.39807897545359</v>
      </c>
    </row>
    <row r="46" spans="1:6" x14ac:dyDescent="0.4">
      <c r="A46" s="3">
        <v>45</v>
      </c>
      <c r="B46" s="2" t="s">
        <v>46</v>
      </c>
      <c r="C46" s="2">
        <v>2</v>
      </c>
      <c r="D46" s="2">
        <v>200</v>
      </c>
      <c r="E46" s="4">
        <v>2.3052294557097115</v>
      </c>
      <c r="F46" s="8">
        <f t="shared" si="0"/>
        <v>922.09178228388464</v>
      </c>
    </row>
    <row r="47" spans="1:6" x14ac:dyDescent="0.4">
      <c r="A47" s="3">
        <v>46</v>
      </c>
      <c r="B47" s="2" t="s">
        <v>47</v>
      </c>
      <c r="C47" s="2">
        <v>2</v>
      </c>
      <c r="D47" s="2">
        <v>50</v>
      </c>
      <c r="E47" s="4">
        <v>2.7214514407684062E-2</v>
      </c>
      <c r="F47" s="8">
        <f t="shared" si="0"/>
        <v>2.7214514407684063</v>
      </c>
    </row>
    <row r="48" spans="1:6" x14ac:dyDescent="0.4">
      <c r="A48" s="3">
        <v>47</v>
      </c>
      <c r="B48" s="2" t="s">
        <v>48</v>
      </c>
      <c r="C48" s="2">
        <v>2</v>
      </c>
      <c r="D48" s="2">
        <v>50</v>
      </c>
      <c r="E48" s="4">
        <v>0.10458911419423696</v>
      </c>
      <c r="F48" s="8">
        <f t="shared" si="0"/>
        <v>10.458911419423696</v>
      </c>
    </row>
    <row r="49" spans="1:6" x14ac:dyDescent="0.4">
      <c r="A49" s="3">
        <v>48</v>
      </c>
      <c r="B49" s="2" t="s">
        <v>49</v>
      </c>
      <c r="C49" s="2">
        <v>2</v>
      </c>
      <c r="D49" s="2">
        <v>50</v>
      </c>
      <c r="E49" s="4">
        <v>6.9370330843117568E-3</v>
      </c>
      <c r="F49" s="8">
        <f t="shared" si="0"/>
        <v>0.69370330843117567</v>
      </c>
    </row>
    <row r="50" spans="1:6" x14ac:dyDescent="0.4">
      <c r="A50" s="3">
        <v>49</v>
      </c>
      <c r="B50" s="2" t="s">
        <v>50</v>
      </c>
      <c r="C50" s="2">
        <v>2</v>
      </c>
      <c r="D50" s="2">
        <v>75</v>
      </c>
      <c r="E50" s="4">
        <v>0.86125933831376722</v>
      </c>
      <c r="F50" s="8">
        <f t="shared" si="0"/>
        <v>129.18890074706508</v>
      </c>
    </row>
    <row r="51" spans="1:6" x14ac:dyDescent="0.4">
      <c r="A51" s="3">
        <v>50</v>
      </c>
      <c r="B51" s="2" t="s">
        <v>51</v>
      </c>
      <c r="C51" s="2">
        <v>2</v>
      </c>
      <c r="D51" s="2">
        <v>75</v>
      </c>
      <c r="E51" s="4">
        <v>0.67662753468516523</v>
      </c>
      <c r="F51" s="8">
        <f t="shared" si="0"/>
        <v>101.49413020277478</v>
      </c>
    </row>
    <row r="52" spans="1:6" x14ac:dyDescent="0.4">
      <c r="A52" s="3">
        <v>51</v>
      </c>
      <c r="B52" s="2" t="s">
        <v>52</v>
      </c>
      <c r="C52" s="2">
        <v>2</v>
      </c>
      <c r="D52" s="2">
        <v>75</v>
      </c>
      <c r="E52" s="4">
        <v>1.9050160085378869</v>
      </c>
      <c r="F52" s="8">
        <f t="shared" si="0"/>
        <v>285.75240128068305</v>
      </c>
    </row>
    <row r="53" spans="1:6" x14ac:dyDescent="0.4">
      <c r="A53" s="3">
        <v>52</v>
      </c>
      <c r="B53" s="2" t="s">
        <v>53</v>
      </c>
      <c r="C53" s="2">
        <v>2</v>
      </c>
      <c r="D53" s="2">
        <v>100</v>
      </c>
      <c r="E53" s="4">
        <v>1.6403415154749197</v>
      </c>
      <c r="F53" s="8">
        <f t="shared" si="0"/>
        <v>328.06830309498395</v>
      </c>
    </row>
    <row r="54" spans="1:6" x14ac:dyDescent="0.4">
      <c r="A54" s="3">
        <v>53</v>
      </c>
      <c r="B54" s="2" t="s">
        <v>54</v>
      </c>
      <c r="C54" s="2">
        <v>2</v>
      </c>
      <c r="D54" s="2">
        <v>100</v>
      </c>
      <c r="E54" s="4">
        <v>1.6456776947705445</v>
      </c>
      <c r="F54" s="8">
        <f t="shared" si="0"/>
        <v>329.13553895410888</v>
      </c>
    </row>
  </sheetData>
  <pageMargins left="0.25" right="0.25" top="0.75" bottom="0.75" header="0.3" footer="0.3"/>
  <pageSetup paperSize="9" scale="9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"/>
  <sheetViews>
    <sheetView workbookViewId="0">
      <selection activeCell="K18" sqref="K18"/>
    </sheetView>
  </sheetViews>
  <sheetFormatPr defaultRowHeight="14.6" x14ac:dyDescent="0.4"/>
  <sheetData>
    <row r="2" spans="2:15" x14ac:dyDescent="0.4">
      <c r="B2" t="str">
        <f>[1]Samples!C1</f>
        <v>Sample prep_0005_Renata</v>
      </c>
    </row>
    <row r="4" spans="2:15" x14ac:dyDescent="0.4">
      <c r="C4" s="5"/>
      <c r="D4" s="5">
        <v>1</v>
      </c>
      <c r="E4" s="5">
        <v>2</v>
      </c>
      <c r="F4" s="5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5">
        <v>11</v>
      </c>
      <c r="O4" s="5">
        <v>12</v>
      </c>
    </row>
    <row r="5" spans="2:15" x14ac:dyDescent="0.4">
      <c r="C5" s="5" t="s">
        <v>55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6">
        <v>8</v>
      </c>
      <c r="L5" s="6">
        <v>9</v>
      </c>
      <c r="M5" s="6">
        <v>10</v>
      </c>
      <c r="N5" s="6">
        <v>11</v>
      </c>
      <c r="O5" s="6">
        <v>12</v>
      </c>
    </row>
    <row r="6" spans="2:15" x14ac:dyDescent="0.4">
      <c r="C6" s="5" t="s">
        <v>56</v>
      </c>
      <c r="D6" s="6">
        <v>13</v>
      </c>
      <c r="E6" s="6">
        <v>14</v>
      </c>
      <c r="F6" s="6">
        <v>15</v>
      </c>
      <c r="G6" s="6">
        <v>16</v>
      </c>
      <c r="H6" s="6">
        <v>17</v>
      </c>
      <c r="I6" s="6">
        <v>18</v>
      </c>
      <c r="J6" s="6">
        <v>19</v>
      </c>
      <c r="K6" s="6">
        <v>20</v>
      </c>
      <c r="L6" s="6">
        <v>21</v>
      </c>
      <c r="M6" s="6">
        <v>22</v>
      </c>
      <c r="N6" s="6">
        <v>23</v>
      </c>
      <c r="O6" s="6">
        <v>24</v>
      </c>
    </row>
    <row r="7" spans="2:15" x14ac:dyDescent="0.4">
      <c r="C7" s="5" t="s">
        <v>57</v>
      </c>
      <c r="D7" s="6">
        <v>25</v>
      </c>
      <c r="E7" s="6">
        <v>26</v>
      </c>
      <c r="F7" s="6">
        <v>27</v>
      </c>
      <c r="G7" s="6">
        <v>28</v>
      </c>
      <c r="H7" s="6">
        <v>29</v>
      </c>
      <c r="I7" s="6">
        <v>30</v>
      </c>
      <c r="J7" s="6">
        <v>31</v>
      </c>
      <c r="K7" s="6">
        <v>32</v>
      </c>
      <c r="L7" s="6">
        <v>33</v>
      </c>
      <c r="M7" s="6">
        <v>34</v>
      </c>
      <c r="N7" s="6">
        <v>35</v>
      </c>
      <c r="O7" s="6">
        <v>36</v>
      </c>
    </row>
    <row r="8" spans="2:15" x14ac:dyDescent="0.4">
      <c r="C8" s="5" t="s">
        <v>58</v>
      </c>
      <c r="D8" s="6">
        <v>37</v>
      </c>
      <c r="E8" s="6">
        <v>38</v>
      </c>
      <c r="F8" s="6">
        <v>39</v>
      </c>
      <c r="G8" s="6">
        <v>40</v>
      </c>
      <c r="H8" s="6">
        <v>41</v>
      </c>
      <c r="I8" s="6">
        <v>42</v>
      </c>
      <c r="J8" s="6">
        <v>43</v>
      </c>
      <c r="K8" s="6">
        <v>44</v>
      </c>
      <c r="L8" s="6">
        <v>45</v>
      </c>
      <c r="M8" s="7" t="s">
        <v>59</v>
      </c>
      <c r="N8" s="7" t="s">
        <v>59</v>
      </c>
      <c r="O8" s="7" t="s">
        <v>59</v>
      </c>
    </row>
    <row r="9" spans="2:15" x14ac:dyDescent="0.4">
      <c r="C9" s="5" t="s">
        <v>60</v>
      </c>
      <c r="D9" s="6">
        <v>49</v>
      </c>
      <c r="E9" s="6">
        <v>50</v>
      </c>
      <c r="F9" s="6">
        <v>51</v>
      </c>
      <c r="G9" s="6">
        <v>52</v>
      </c>
      <c r="H9" s="6">
        <v>53</v>
      </c>
      <c r="I9" s="5"/>
      <c r="J9" s="5"/>
      <c r="K9" s="5"/>
      <c r="L9" s="5"/>
      <c r="M9" s="5"/>
      <c r="N9" s="5"/>
      <c r="O9" s="5"/>
    </row>
    <row r="10" spans="2:15" x14ac:dyDescent="0.4">
      <c r="C10" s="5" t="s">
        <v>61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2:15" x14ac:dyDescent="0.4">
      <c r="C11" s="5" t="s">
        <v>62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2:15" x14ac:dyDescent="0.4">
      <c r="C12" s="5" t="s">
        <v>63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Samples name and conc.</vt:lpstr>
      <vt:lpstr>Samples in plate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Sigrist</dc:creator>
  <cp:lastModifiedBy>Lizzie Eriksen</cp:lastModifiedBy>
  <cp:lastPrinted>2022-09-29T08:34:20Z</cp:lastPrinted>
  <dcterms:created xsi:type="dcterms:W3CDTF">2022-09-23T10:45:04Z</dcterms:created>
  <dcterms:modified xsi:type="dcterms:W3CDTF">2022-10-21T11:19:23Z</dcterms:modified>
</cp:coreProperties>
</file>