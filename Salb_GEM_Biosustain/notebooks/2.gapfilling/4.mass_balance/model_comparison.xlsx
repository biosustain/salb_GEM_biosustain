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/Library/CloudStorage/OneDrive-Personal/Biosustain/strep/Code/streptsd/notebooks/gapfilling/4.mass_balance/"/>
    </mc:Choice>
  </mc:AlternateContent>
  <xr:revisionPtr revIDLastSave="0" documentId="13_ncr:1_{E2351844-1DEA-674D-A6C2-F2E8BB9FA427}" xr6:coauthVersionLast="47" xr6:coauthVersionMax="47" xr10:uidLastSave="{00000000-0000-0000-0000-000000000000}"/>
  <bookViews>
    <workbookView xWindow="21240" yWindow="5060" windowWidth="27640" windowHeight="16940" xr2:uid="{B861608F-8F01-544E-A880-1F47C6979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G5" i="1" s="1"/>
  <c r="I5" i="1"/>
  <c r="H5" i="1"/>
  <c r="J5" i="1" s="1"/>
  <c r="I3" i="1"/>
  <c r="I4" i="1"/>
  <c r="I2" i="1"/>
  <c r="H3" i="1"/>
  <c r="J3" i="1" s="1"/>
  <c r="H4" i="1"/>
  <c r="J4" i="1" s="1"/>
  <c r="H2" i="1"/>
  <c r="J2" i="1" s="1"/>
  <c r="F3" i="1"/>
  <c r="G3" i="1" s="1"/>
  <c r="F4" i="1"/>
  <c r="G4" i="1" s="1"/>
  <c r="F2" i="1"/>
  <c r="G2" i="1" s="1"/>
</calcChain>
</file>

<file path=xl/sharedStrings.xml><?xml version="1.0" encoding="utf-8"?>
<sst xmlns="http://schemas.openxmlformats.org/spreadsheetml/2006/main" count="14" uniqueCount="14">
  <si>
    <t>False Positive</t>
  </si>
  <si>
    <t>True Positive</t>
  </si>
  <si>
    <t>False Negative</t>
  </si>
  <si>
    <t>True Negative</t>
  </si>
  <si>
    <t>Model</t>
  </si>
  <si>
    <t>Original</t>
  </si>
  <si>
    <t>Update with Sco-GEM</t>
  </si>
  <si>
    <t>Update with Universal Model</t>
  </si>
  <si>
    <t>Total</t>
  </si>
  <si>
    <t>Accuracy</t>
  </si>
  <si>
    <t>Precision</t>
  </si>
  <si>
    <t>Sensitivity</t>
  </si>
  <si>
    <t>F1 Score</t>
  </si>
  <si>
    <t>Biosustain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</si>
</sst>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ED384-F568-8049-80EA-FBE6A730456E}">
  <dimension ref="A1:J5"/>
  <sheetViews>
    <sheetView tabSelected="1" workbookViewId="0">
      <selection activeCell="A6" sqref="A6"/>
    </sheetView>
  </sheetViews>
  <sheetFormatPr baseColWidth="10" defaultRowHeight="16" x14ac:dyDescent="0.2"/>
  <cols>
    <col min="1" max="1" width="26.33203125" customWidth="1"/>
    <col min="2" max="2" width="16.6640625" customWidth="1"/>
    <col min="3" max="3" width="19.1640625" customWidth="1"/>
    <col min="4" max="4" width="17.33203125" customWidth="1"/>
  </cols>
  <sheetData>
    <row r="1" spans="1:10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">
      <c r="A2" t="s">
        <v>5</v>
      </c>
      <c r="B2">
        <v>15</v>
      </c>
      <c r="C2">
        <v>82</v>
      </c>
      <c r="D2">
        <v>20</v>
      </c>
      <c r="E2">
        <v>14</v>
      </c>
      <c r="F2">
        <f>SUM(B2:E2)</f>
        <v>131</v>
      </c>
      <c r="G2">
        <f>(C2+E2)/F2</f>
        <v>0.73282442748091603</v>
      </c>
      <c r="H2">
        <f>C2/(C2+B2)</f>
        <v>0.84536082474226804</v>
      </c>
      <c r="I2">
        <f>C2/(C2+D2)</f>
        <v>0.80392156862745101</v>
      </c>
      <c r="J2">
        <f>2*(H2*I2)/(H2+I2)</f>
        <v>0.8241206030150755</v>
      </c>
    </row>
    <row r="3" spans="1:10" x14ac:dyDescent="0.2">
      <c r="A3" t="s">
        <v>6</v>
      </c>
      <c r="B3">
        <v>17</v>
      </c>
      <c r="C3">
        <v>95</v>
      </c>
      <c r="D3">
        <v>8</v>
      </c>
      <c r="E3">
        <v>12</v>
      </c>
      <c r="F3">
        <f t="shared" ref="F3:F5" si="0">SUM(B3:E3)</f>
        <v>132</v>
      </c>
      <c r="G3">
        <f t="shared" ref="G3:G5" si="1">(C3+E3)/F3</f>
        <v>0.81060606060606055</v>
      </c>
      <c r="H3">
        <f t="shared" ref="H3:H5" si="2">C3/(C3+B3)</f>
        <v>0.8482142857142857</v>
      </c>
      <c r="I3">
        <f t="shared" ref="I3:I5" si="3">C3/(C3+D3)</f>
        <v>0.92233009708737868</v>
      </c>
      <c r="J3">
        <f t="shared" ref="J3:J5" si="4">2*(H3*I3)/(H3+I3)</f>
        <v>0.88372093023255816</v>
      </c>
    </row>
    <row r="4" spans="1:10" x14ac:dyDescent="0.2">
      <c r="A4" t="s">
        <v>7</v>
      </c>
      <c r="B4">
        <v>26</v>
      </c>
      <c r="C4">
        <v>103</v>
      </c>
      <c r="D4">
        <v>0</v>
      </c>
      <c r="E4">
        <v>3</v>
      </c>
      <c r="F4">
        <f t="shared" si="0"/>
        <v>132</v>
      </c>
      <c r="G4">
        <f t="shared" si="1"/>
        <v>0.80303030303030298</v>
      </c>
      <c r="H4">
        <f t="shared" si="2"/>
        <v>0.79844961240310075</v>
      </c>
      <c r="I4">
        <f t="shared" si="3"/>
        <v>1</v>
      </c>
      <c r="J4">
        <f t="shared" si="4"/>
        <v>0.88793103448275856</v>
      </c>
    </row>
    <row r="5" spans="1:10" x14ac:dyDescent="0.2">
      <c r="A5" t="s">
        <v>13</v>
      </c>
      <c r="B5">
        <v>20</v>
      </c>
      <c r="C5">
        <v>102</v>
      </c>
      <c r="D5">
        <v>1</v>
      </c>
      <c r="E5">
        <v>9</v>
      </c>
      <c r="F5">
        <f t="shared" si="0"/>
        <v>132</v>
      </c>
      <c r="G5">
        <f t="shared" si="1"/>
        <v>0.84090909090909094</v>
      </c>
      <c r="H5">
        <f t="shared" si="2"/>
        <v>0.83606557377049184</v>
      </c>
      <c r="I5">
        <f t="shared" si="3"/>
        <v>0.99029126213592233</v>
      </c>
      <c r="J5">
        <f t="shared" si="4"/>
        <v>0.90666666666666662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2024-01-30T13:19:51Z</dcterms:created>
  <dcterms:modified xsi:type="dcterms:W3CDTF">2025-07-08T13:32:55Z</dcterms:modified>
</cp:coreProperties>
</file>